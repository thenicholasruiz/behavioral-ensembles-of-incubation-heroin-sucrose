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https://tuprd-my.sharepoint.com/personal/tug82756_temple_edu/Documents/Wimmer Lab Data/INCUBATION PROJECT/Heroin Incubation + D1 TRAP/"/>
    </mc:Choice>
  </mc:AlternateContent>
  <xr:revisionPtr revIDLastSave="5107" documentId="13_ncr:1_{521D67A7-F9AF-4FA7-AE5C-829CA78DFF8F}" xr6:coauthVersionLast="47" xr6:coauthVersionMax="47" xr10:uidLastSave="{D57A6E3C-7344-4067-8364-CCF4A5DE7136}"/>
  <bookViews>
    <workbookView xWindow="-120" yWindow="-120" windowWidth="38640" windowHeight="21240" firstSheet="8" activeTab="12" xr2:uid="{00000000-000D-0000-FFFF-FFFF00000000}"/>
  </bookViews>
  <sheets>
    <sheet name="Animals &amp; Surgery Log" sheetId="1" r:id="rId1"/>
    <sheet name="D1 TRAP COH 1 (MALES)" sheetId="2" r:id="rId2"/>
    <sheet name="HLM D1 TRAP COH 1" sheetId="7" r:id="rId3"/>
    <sheet name="D1 TRAP COH 2 (FEMALES)" sheetId="8" r:id="rId4"/>
    <sheet name="HLM D1 TRAP COH 2" sheetId="9" r:id="rId5"/>
    <sheet name="D1 TRAP COH 3 (MALES)" sheetId="10" r:id="rId6"/>
    <sheet name="HLM D1 TRAP COH 3" sheetId="11" r:id="rId7"/>
    <sheet name="D1 TRAP COH 4 (FEMALES)" sheetId="12" r:id="rId8"/>
    <sheet name="HLM D1 TRAP COH 4" sheetId="13" r:id="rId9"/>
    <sheet name="MIXED D1 D2 TRAP COH 1" sheetId="15" r:id="rId10"/>
    <sheet name="HLM MIXED D1 D2 TRAP COH 1" sheetId="16" r:id="rId11"/>
    <sheet name="Data Sheet" sheetId="3" r:id="rId12"/>
    <sheet name="Cue reactivity" sheetId="6" r:id="rId13"/>
    <sheet name="IVSA Estrous Cycle Data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51" i="13" l="1"/>
  <c r="N51" i="13"/>
  <c r="T19" i="14"/>
  <c r="T7" i="14"/>
  <c r="BA8" i="14"/>
  <c r="BA9" i="14"/>
  <c r="BA10" i="14"/>
  <c r="BA11" i="14"/>
  <c r="BA12" i="14"/>
  <c r="BA13" i="14"/>
  <c r="BA14" i="14"/>
  <c r="BA15" i="14"/>
  <c r="BA16" i="14"/>
  <c r="BA17" i="14"/>
  <c r="BA18" i="14"/>
  <c r="BA7" i="14"/>
  <c r="AW8" i="14"/>
  <c r="AW9" i="14"/>
  <c r="AW10" i="14"/>
  <c r="AW11" i="14"/>
  <c r="AW12" i="14"/>
  <c r="AW13" i="14"/>
  <c r="AW14" i="14"/>
  <c r="AW15" i="14"/>
  <c r="AW16" i="14"/>
  <c r="AW17" i="14"/>
  <c r="AW18" i="14"/>
  <c r="AW7" i="14"/>
  <c r="X8" i="14"/>
  <c r="X9" i="14"/>
  <c r="X10" i="14"/>
  <c r="X11" i="14"/>
  <c r="X12" i="14"/>
  <c r="X13" i="14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35" i="14"/>
  <c r="X36" i="14"/>
  <c r="X37" i="14"/>
  <c r="X38" i="14"/>
  <c r="X7" i="14"/>
  <c r="T8" i="14"/>
  <c r="T9" i="14"/>
  <c r="T10" i="14"/>
  <c r="T11" i="14"/>
  <c r="T12" i="14"/>
  <c r="T13" i="14"/>
  <c r="T14" i="14"/>
  <c r="T15" i="14"/>
  <c r="T16" i="14"/>
  <c r="T17" i="14"/>
  <c r="T18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O24" i="16"/>
  <c r="O28" i="16"/>
  <c r="P53" i="16"/>
  <c r="O53" i="16"/>
  <c r="P52" i="16"/>
  <c r="O52" i="16"/>
  <c r="P51" i="16"/>
  <c r="O51" i="16"/>
  <c r="P50" i="16"/>
  <c r="O50" i="16"/>
  <c r="P49" i="16"/>
  <c r="O49" i="16"/>
  <c r="P48" i="16"/>
  <c r="O48" i="16"/>
  <c r="P47" i="16"/>
  <c r="O47" i="16"/>
  <c r="P38" i="16"/>
  <c r="O38" i="16"/>
  <c r="P37" i="16"/>
  <c r="P39" i="16" s="1"/>
  <c r="O37" i="16"/>
  <c r="O39" i="16" s="1"/>
  <c r="P33" i="16"/>
  <c r="O33" i="16"/>
  <c r="P32" i="16"/>
  <c r="O32" i="16"/>
  <c r="P31" i="16"/>
  <c r="P34" i="16" s="1"/>
  <c r="O31" i="16"/>
  <c r="O34" i="16" s="1"/>
  <c r="P27" i="16"/>
  <c r="O27" i="16"/>
  <c r="P26" i="16"/>
  <c r="O26" i="16"/>
  <c r="P25" i="16"/>
  <c r="O25" i="16"/>
  <c r="P24" i="16"/>
  <c r="P28" i="16" s="1"/>
  <c r="AH48" i="16"/>
  <c r="AI48" i="16"/>
  <c r="AH49" i="16"/>
  <c r="AI49" i="16"/>
  <c r="AH50" i="16"/>
  <c r="AI50" i="16"/>
  <c r="AH51" i="16"/>
  <c r="AI51" i="16"/>
  <c r="AH52" i="16"/>
  <c r="AI52" i="16"/>
  <c r="AH53" i="16"/>
  <c r="AI53" i="16"/>
  <c r="AI47" i="16"/>
  <c r="AH47" i="16"/>
  <c r="AI37" i="16"/>
  <c r="AH37" i="16"/>
  <c r="AI32" i="16"/>
  <c r="AI33" i="16"/>
  <c r="AI34" i="16"/>
  <c r="AI31" i="16"/>
  <c r="AH32" i="16"/>
  <c r="AH33" i="16"/>
  <c r="AH25" i="16"/>
  <c r="AH26" i="16"/>
  <c r="AH27" i="16"/>
  <c r="AH31" i="16"/>
  <c r="AI24" i="16"/>
  <c r="AH24" i="16"/>
  <c r="AI39" i="16"/>
  <c r="AH39" i="16"/>
  <c r="AH34" i="16"/>
  <c r="AI28" i="16"/>
  <c r="AH28" i="16"/>
  <c r="BB53" i="16"/>
  <c r="BA53" i="16"/>
  <c r="BB52" i="16"/>
  <c r="BA52" i="16"/>
  <c r="BB38" i="16"/>
  <c r="BA38" i="16"/>
  <c r="BB33" i="16"/>
  <c r="BA33" i="16"/>
  <c r="BB37" i="16"/>
  <c r="BA37" i="16"/>
  <c r="BB27" i="16"/>
  <c r="BA27" i="16"/>
  <c r="BB51" i="16"/>
  <c r="BA51" i="16"/>
  <c r="BB50" i="16"/>
  <c r="BA50" i="16"/>
  <c r="BB26" i="16"/>
  <c r="BA26" i="16"/>
  <c r="BB25" i="16"/>
  <c r="BA25" i="16"/>
  <c r="BB49" i="16"/>
  <c r="BA49" i="16"/>
  <c r="BB32" i="16"/>
  <c r="BA32" i="16"/>
  <c r="BB24" i="16"/>
  <c r="BA24" i="16"/>
  <c r="BB31" i="16"/>
  <c r="BA31" i="16"/>
  <c r="BB48" i="16"/>
  <c r="BA48" i="16"/>
  <c r="BB47" i="16"/>
  <c r="BA47" i="16"/>
  <c r="AI38" i="16"/>
  <c r="AH38" i="16"/>
  <c r="AI27" i="16"/>
  <c r="AI26" i="16"/>
  <c r="AI25" i="16"/>
  <c r="AG36" i="13"/>
  <c r="AF36" i="13"/>
  <c r="AG27" i="13"/>
  <c r="AF27" i="13"/>
  <c r="O36" i="13"/>
  <c r="N36" i="13"/>
  <c r="O27" i="13"/>
  <c r="N27" i="13"/>
  <c r="AY50" i="13"/>
  <c r="AX50" i="13"/>
  <c r="AY49" i="13"/>
  <c r="AX49" i="13"/>
  <c r="AY48" i="13"/>
  <c r="AX48" i="13"/>
  <c r="AY47" i="13"/>
  <c r="AX47" i="13"/>
  <c r="AY46" i="13"/>
  <c r="AX46" i="13"/>
  <c r="AY26" i="13"/>
  <c r="AX26" i="13"/>
  <c r="AY25" i="13"/>
  <c r="AX25" i="13"/>
  <c r="AY35" i="13"/>
  <c r="AX35" i="13"/>
  <c r="AY34" i="13"/>
  <c r="AX34" i="13"/>
  <c r="AY24" i="13"/>
  <c r="AX24" i="13"/>
  <c r="AY60" i="13"/>
  <c r="AX60" i="13"/>
  <c r="AY33" i="13"/>
  <c r="AX33" i="13"/>
  <c r="AY32" i="13"/>
  <c r="AX32" i="13"/>
  <c r="AY40" i="13"/>
  <c r="AX40" i="13"/>
  <c r="AY31" i="13"/>
  <c r="AX31" i="13"/>
  <c r="AG50" i="13"/>
  <c r="AF50" i="13"/>
  <c r="AG49" i="13"/>
  <c r="AF49" i="13"/>
  <c r="AG48" i="13"/>
  <c r="AF48" i="13"/>
  <c r="AG47" i="13"/>
  <c r="AF47" i="13"/>
  <c r="AG46" i="13"/>
  <c r="AF46" i="13"/>
  <c r="AG26" i="13"/>
  <c r="AF26" i="13"/>
  <c r="AG25" i="13"/>
  <c r="AF25" i="13"/>
  <c r="AG35" i="13"/>
  <c r="AF35" i="13"/>
  <c r="AG34" i="13"/>
  <c r="AF34" i="13"/>
  <c r="AG24" i="13"/>
  <c r="AF24" i="13"/>
  <c r="AG60" i="13"/>
  <c r="AF60" i="13"/>
  <c r="AG33" i="13"/>
  <c r="AF33" i="13"/>
  <c r="AG32" i="13"/>
  <c r="AF32" i="13"/>
  <c r="AG40" i="13"/>
  <c r="AF40" i="13"/>
  <c r="AG31" i="13"/>
  <c r="AF31" i="13"/>
  <c r="N47" i="13"/>
  <c r="O47" i="13"/>
  <c r="N48" i="13"/>
  <c r="O48" i="13"/>
  <c r="N49" i="13"/>
  <c r="O49" i="13"/>
  <c r="N50" i="13"/>
  <c r="O50" i="13"/>
  <c r="O46" i="13"/>
  <c r="N46" i="13"/>
  <c r="N40" i="13"/>
  <c r="O40" i="13"/>
  <c r="N32" i="13"/>
  <c r="O32" i="13"/>
  <c r="N33" i="13"/>
  <c r="O33" i="13"/>
  <c r="N60" i="13"/>
  <c r="O60" i="13"/>
  <c r="N24" i="13"/>
  <c r="O24" i="13"/>
  <c r="N34" i="13"/>
  <c r="O34" i="13"/>
  <c r="N35" i="13"/>
  <c r="O35" i="13"/>
  <c r="N25" i="13"/>
  <c r="O25" i="13"/>
  <c r="N26" i="13"/>
  <c r="O26" i="13"/>
  <c r="O31" i="13"/>
  <c r="N31" i="13"/>
  <c r="AW37" i="11"/>
  <c r="AV37" i="11"/>
  <c r="AF37" i="11"/>
  <c r="AE37" i="11"/>
  <c r="AW32" i="11"/>
  <c r="AV32" i="11"/>
  <c r="AF32" i="11"/>
  <c r="AE32" i="11"/>
  <c r="AW25" i="11"/>
  <c r="AV25" i="11"/>
  <c r="AF25" i="11"/>
  <c r="AE25" i="11"/>
  <c r="O37" i="11"/>
  <c r="N37" i="11"/>
  <c r="O32" i="11"/>
  <c r="N32" i="11"/>
  <c r="O25" i="11"/>
  <c r="N25" i="11"/>
  <c r="AW24" i="11"/>
  <c r="AV24" i="11"/>
  <c r="AW23" i="11"/>
  <c r="AV23" i="11"/>
  <c r="AW36" i="11"/>
  <c r="AV36" i="11"/>
  <c r="AW31" i="11"/>
  <c r="AV31" i="11"/>
  <c r="AW22" i="11"/>
  <c r="AV22" i="11"/>
  <c r="AW21" i="11"/>
  <c r="AV21" i="11"/>
  <c r="AW35" i="11"/>
  <c r="AV35" i="11"/>
  <c r="AW45" i="11"/>
  <c r="AV45" i="11"/>
  <c r="AW44" i="11"/>
  <c r="AV44" i="11"/>
  <c r="AW30" i="11"/>
  <c r="AV30" i="11"/>
  <c r="AW49" i="11"/>
  <c r="AV49" i="11"/>
  <c r="AW29" i="11"/>
  <c r="AV29" i="11"/>
  <c r="AW28" i="11"/>
  <c r="AV28" i="11"/>
  <c r="AW43" i="11"/>
  <c r="AV43" i="11"/>
  <c r="AW42" i="11"/>
  <c r="AV42" i="11"/>
  <c r="AW41" i="11"/>
  <c r="AV41" i="11"/>
  <c r="AF24" i="11"/>
  <c r="AE24" i="11"/>
  <c r="AF23" i="11"/>
  <c r="AE23" i="11"/>
  <c r="AF36" i="11"/>
  <c r="AE36" i="11"/>
  <c r="AF31" i="11"/>
  <c r="AE31" i="11"/>
  <c r="AF22" i="11"/>
  <c r="AE22" i="11"/>
  <c r="AF21" i="11"/>
  <c r="AE21" i="11"/>
  <c r="AF35" i="11"/>
  <c r="AE35" i="11"/>
  <c r="AF45" i="11"/>
  <c r="AE45" i="11"/>
  <c r="AF44" i="11"/>
  <c r="AE44" i="11"/>
  <c r="AF30" i="11"/>
  <c r="AE30" i="11"/>
  <c r="AF49" i="11"/>
  <c r="AE49" i="11"/>
  <c r="AF29" i="11"/>
  <c r="AE29" i="11"/>
  <c r="AF28" i="11"/>
  <c r="AE28" i="11"/>
  <c r="AF43" i="11"/>
  <c r="AE43" i="11"/>
  <c r="AF42" i="11"/>
  <c r="AE42" i="11"/>
  <c r="AF41" i="11"/>
  <c r="AE41" i="11"/>
  <c r="O35" i="11"/>
  <c r="O21" i="11"/>
  <c r="O22" i="11"/>
  <c r="O31" i="11"/>
  <c r="O36" i="11"/>
  <c r="O23" i="11"/>
  <c r="O24" i="11"/>
  <c r="O42" i="11"/>
  <c r="O43" i="11"/>
  <c r="O28" i="11"/>
  <c r="O29" i="11"/>
  <c r="O49" i="11"/>
  <c r="O30" i="11"/>
  <c r="O44" i="11"/>
  <c r="O45" i="11"/>
  <c r="O41" i="11"/>
  <c r="N42" i="11"/>
  <c r="N43" i="11"/>
  <c r="N28" i="11"/>
  <c r="N29" i="11"/>
  <c r="N49" i="11"/>
  <c r="N30" i="11"/>
  <c r="N44" i="11"/>
  <c r="N45" i="11"/>
  <c r="N35" i="11"/>
  <c r="N21" i="11"/>
  <c r="N22" i="11"/>
  <c r="N31" i="11"/>
  <c r="N36" i="11"/>
  <c r="N23" i="11"/>
  <c r="N24" i="11"/>
  <c r="N41" i="11"/>
  <c r="AG44" i="9"/>
  <c r="AF44" i="9"/>
  <c r="AG38" i="9"/>
  <c r="AF38" i="9"/>
  <c r="AG29" i="9"/>
  <c r="AF29" i="9"/>
  <c r="AY43" i="9"/>
  <c r="AX43" i="9"/>
  <c r="AY37" i="9"/>
  <c r="AX37" i="9"/>
  <c r="AY36" i="9"/>
  <c r="AX36" i="9"/>
  <c r="AY35" i="9"/>
  <c r="AX35" i="9"/>
  <c r="AY28" i="9"/>
  <c r="AX28" i="9"/>
  <c r="AY49" i="9"/>
  <c r="AX49" i="9"/>
  <c r="AY48" i="9"/>
  <c r="AX48" i="9"/>
  <c r="AY47" i="9"/>
  <c r="AX47" i="9"/>
  <c r="AY34" i="9"/>
  <c r="AX34" i="9"/>
  <c r="AY33" i="9"/>
  <c r="AX33" i="9"/>
  <c r="AY27" i="9"/>
  <c r="AX27" i="9"/>
  <c r="AY42" i="9"/>
  <c r="AX42" i="9"/>
  <c r="AY26" i="9"/>
  <c r="AX26" i="9"/>
  <c r="AY25" i="9"/>
  <c r="AX25" i="9"/>
  <c r="AY24" i="9"/>
  <c r="AX24" i="9"/>
  <c r="AG43" i="9"/>
  <c r="AF43" i="9"/>
  <c r="AG37" i="9"/>
  <c r="AF37" i="9"/>
  <c r="AG36" i="9"/>
  <c r="AF36" i="9"/>
  <c r="AG35" i="9"/>
  <c r="AF35" i="9"/>
  <c r="AG28" i="9"/>
  <c r="AF28" i="9"/>
  <c r="AG49" i="9"/>
  <c r="AF49" i="9"/>
  <c r="AG48" i="9"/>
  <c r="AF48" i="9"/>
  <c r="AG47" i="9"/>
  <c r="AF47" i="9"/>
  <c r="AG34" i="9"/>
  <c r="AF34" i="9"/>
  <c r="AG33" i="9"/>
  <c r="AF33" i="9"/>
  <c r="AG27" i="9"/>
  <c r="AF27" i="9"/>
  <c r="AG42" i="9"/>
  <c r="AF42" i="9"/>
  <c r="AG26" i="9"/>
  <c r="AF26" i="9"/>
  <c r="AG25" i="9"/>
  <c r="AF25" i="9"/>
  <c r="AG24" i="9"/>
  <c r="AF24" i="9"/>
  <c r="O35" i="9"/>
  <c r="O36" i="9"/>
  <c r="O37" i="9"/>
  <c r="O43" i="9"/>
  <c r="O25" i="9"/>
  <c r="O26" i="9"/>
  <c r="O42" i="9"/>
  <c r="O27" i="9"/>
  <c r="O33" i="9"/>
  <c r="O34" i="9"/>
  <c r="O47" i="9"/>
  <c r="O48" i="9"/>
  <c r="O49" i="9"/>
  <c r="O28" i="9"/>
  <c r="O24" i="9"/>
  <c r="O29" i="9" s="1"/>
  <c r="N43" i="9"/>
  <c r="N25" i="9"/>
  <c r="N26" i="9"/>
  <c r="N42" i="9"/>
  <c r="N27" i="9"/>
  <c r="N33" i="9"/>
  <c r="N34" i="9"/>
  <c r="N47" i="9"/>
  <c r="N48" i="9"/>
  <c r="N49" i="9"/>
  <c r="N28" i="9"/>
  <c r="N35" i="9"/>
  <c r="N36" i="9"/>
  <c r="N37" i="9"/>
  <c r="N24" i="9"/>
  <c r="N29" i="9" s="1"/>
  <c r="AX37" i="7"/>
  <c r="AF42" i="7"/>
  <c r="N40" i="7"/>
  <c r="N42" i="7" s="1"/>
  <c r="O40" i="7"/>
  <c r="O42" i="7" s="1"/>
  <c r="AF40" i="7"/>
  <c r="AG40" i="7"/>
  <c r="AX40" i="7"/>
  <c r="AX42" i="7" s="1"/>
  <c r="AY40" i="7"/>
  <c r="AY42" i="7" s="1"/>
  <c r="AX32" i="7"/>
  <c r="AY32" i="7"/>
  <c r="AY37" i="7" s="1"/>
  <c r="AX41" i="7"/>
  <c r="AY41" i="7"/>
  <c r="AX36" i="7"/>
  <c r="AY36" i="7"/>
  <c r="AX27" i="7"/>
  <c r="AY27" i="7"/>
  <c r="AX28" i="7"/>
  <c r="AY28" i="7"/>
  <c r="AX33" i="7"/>
  <c r="AY33" i="7"/>
  <c r="AX26" i="7"/>
  <c r="AY26" i="7"/>
  <c r="AX25" i="7"/>
  <c r="AY25" i="7"/>
  <c r="AX35" i="7"/>
  <c r="AY35" i="7"/>
  <c r="AX24" i="7"/>
  <c r="AX29" i="7" s="1"/>
  <c r="AY24" i="7"/>
  <c r="AY29" i="7" s="1"/>
  <c r="AY34" i="7"/>
  <c r="AX34" i="7"/>
  <c r="AY50" i="7"/>
  <c r="AX50" i="7"/>
  <c r="AY49" i="7"/>
  <c r="AX49" i="7"/>
  <c r="AY48" i="7"/>
  <c r="AX48" i="7"/>
  <c r="AY47" i="7"/>
  <c r="AX47" i="7"/>
  <c r="N48" i="7"/>
  <c r="O48" i="7"/>
  <c r="N49" i="7"/>
  <c r="O49" i="7"/>
  <c r="N50" i="7"/>
  <c r="O50" i="7"/>
  <c r="O47" i="7"/>
  <c r="N47" i="7"/>
  <c r="O24" i="7"/>
  <c r="O29" i="7" s="1"/>
  <c r="N24" i="7"/>
  <c r="N29" i="7" s="1"/>
  <c r="O35" i="7"/>
  <c r="N35" i="7"/>
  <c r="O25" i="7"/>
  <c r="N25" i="7"/>
  <c r="O26" i="7"/>
  <c r="N26" i="7"/>
  <c r="O33" i="7"/>
  <c r="O37" i="7" s="1"/>
  <c r="N33" i="7"/>
  <c r="N37" i="7" s="1"/>
  <c r="O28" i="7"/>
  <c r="N28" i="7"/>
  <c r="O27" i="7"/>
  <c r="N27" i="7"/>
  <c r="O36" i="7"/>
  <c r="N36" i="7"/>
  <c r="O41" i="7"/>
  <c r="N41" i="7"/>
  <c r="O32" i="7"/>
  <c r="N32" i="7"/>
  <c r="O34" i="7"/>
  <c r="N34" i="7"/>
  <c r="AF48" i="7"/>
  <c r="AG48" i="7"/>
  <c r="AF49" i="7"/>
  <c r="AG49" i="7"/>
  <c r="AF50" i="7"/>
  <c r="AG50" i="7"/>
  <c r="AG47" i="7"/>
  <c r="AF47" i="7"/>
  <c r="AG34" i="7"/>
  <c r="AF34" i="7"/>
  <c r="AG32" i="7"/>
  <c r="AG37" i="7" s="1"/>
  <c r="AG41" i="7"/>
  <c r="AG42" i="7" s="1"/>
  <c r="AG36" i="7"/>
  <c r="AG27" i="7"/>
  <c r="AG28" i="7"/>
  <c r="AG33" i="7"/>
  <c r="AG26" i="7"/>
  <c r="AG25" i="7"/>
  <c r="AG35" i="7"/>
  <c r="AG24" i="7"/>
  <c r="AG29" i="7" s="1"/>
  <c r="AF32" i="7"/>
  <c r="AF37" i="7" s="1"/>
  <c r="AF41" i="7"/>
  <c r="AF36" i="7"/>
  <c r="AF27" i="7"/>
  <c r="AF28" i="7"/>
  <c r="AF33" i="7"/>
  <c r="AF26" i="7"/>
  <c r="AF25" i="7"/>
  <c r="AF29" i="7" s="1"/>
  <c r="AF35" i="7"/>
  <c r="AF24" i="7"/>
  <c r="AE16" i="11" l="1"/>
  <c r="AE15" i="11"/>
  <c r="AE14" i="11"/>
  <c r="N38" i="9"/>
  <c r="N44" i="9" s="1"/>
  <c r="O38" i="9"/>
  <c r="O44" i="9" s="1"/>
</calcChain>
</file>

<file path=xl/sharedStrings.xml><?xml version="1.0" encoding="utf-8"?>
<sst xmlns="http://schemas.openxmlformats.org/spreadsheetml/2006/main" count="4243" uniqueCount="376">
  <si>
    <t>Animals</t>
  </si>
  <si>
    <t>Cohort 1</t>
  </si>
  <si>
    <t>Box</t>
  </si>
  <si>
    <t>Eartag</t>
  </si>
  <si>
    <t>Surgery Date</t>
  </si>
  <si>
    <t>Surgeon</t>
  </si>
  <si>
    <t>Weight (g)</t>
  </si>
  <si>
    <t>Experimental Group</t>
  </si>
  <si>
    <t>Condition</t>
  </si>
  <si>
    <t>Pair-housing</t>
  </si>
  <si>
    <t>G241</t>
  </si>
  <si>
    <t>AB</t>
  </si>
  <si>
    <t>HEROIN</t>
  </si>
  <si>
    <t>G241 (1)</t>
  </si>
  <si>
    <t>G242 (2)</t>
  </si>
  <si>
    <t>G242</t>
  </si>
  <si>
    <t>G243 (3)</t>
  </si>
  <si>
    <t>Single</t>
  </si>
  <si>
    <t>G243</t>
  </si>
  <si>
    <t>SALINE</t>
  </si>
  <si>
    <t>G254 (4)</t>
  </si>
  <si>
    <t>G255 (5)</t>
  </si>
  <si>
    <t>G254</t>
  </si>
  <si>
    <t>G262 (6)</t>
  </si>
  <si>
    <t>G263 (7)</t>
  </si>
  <si>
    <t>G255</t>
  </si>
  <si>
    <t>G305 (8)</t>
  </si>
  <si>
    <t>G306 (9)</t>
  </si>
  <si>
    <t>G262</t>
  </si>
  <si>
    <t>G604 (10)</t>
  </si>
  <si>
    <t>G263</t>
  </si>
  <si>
    <t>G607 (not running)</t>
  </si>
  <si>
    <t>G608 (11)</t>
  </si>
  <si>
    <t>G305</t>
  </si>
  <si>
    <t>G275 (12)</t>
  </si>
  <si>
    <t>G306</t>
  </si>
  <si>
    <t>G277 (13)</t>
  </si>
  <si>
    <t>G604</t>
  </si>
  <si>
    <t>G279 (14)</t>
  </si>
  <si>
    <t>G280 (15)</t>
  </si>
  <si>
    <t>G608</t>
  </si>
  <si>
    <t>G297 (16)</t>
  </si>
  <si>
    <t>G275</t>
  </si>
  <si>
    <t>G277</t>
  </si>
  <si>
    <t>G279</t>
  </si>
  <si>
    <t>G280</t>
  </si>
  <si>
    <t>G297</t>
  </si>
  <si>
    <t>NOT RUNNING</t>
  </si>
  <si>
    <t>G607</t>
  </si>
  <si>
    <t>Cohort 2</t>
  </si>
  <si>
    <t>G260</t>
  </si>
  <si>
    <t>G260 (1)</t>
  </si>
  <si>
    <t>G274 (2)</t>
  </si>
  <si>
    <t>G274</t>
  </si>
  <si>
    <t>G613 (3)</t>
  </si>
  <si>
    <t>G613</t>
  </si>
  <si>
    <t>G614 (4)</t>
  </si>
  <si>
    <t>G614</t>
  </si>
  <si>
    <t>G623 (5)</t>
  </si>
  <si>
    <t>G623</t>
  </si>
  <si>
    <t>G625 (6)</t>
  </si>
  <si>
    <t>G627 (7)</t>
  </si>
  <si>
    <t>G625</t>
  </si>
  <si>
    <t>G628 (8)</t>
  </si>
  <si>
    <t>G629 (9)</t>
  </si>
  <si>
    <t>G627</t>
  </si>
  <si>
    <t>G307 (10)</t>
  </si>
  <si>
    <t>G309 (11)</t>
  </si>
  <si>
    <t>G628</t>
  </si>
  <si>
    <t>G318 (12)</t>
  </si>
  <si>
    <t>G629</t>
  </si>
  <si>
    <t>G257 (13)</t>
  </si>
  <si>
    <t>G259 (14)</t>
  </si>
  <si>
    <t>G307</t>
  </si>
  <si>
    <t>G618 (15)</t>
  </si>
  <si>
    <t>G309</t>
  </si>
  <si>
    <t>G308 (WT, BACK UP)</t>
  </si>
  <si>
    <t>G311 (WT, 16)</t>
  </si>
  <si>
    <t>G318</t>
  </si>
  <si>
    <t>G257</t>
  </si>
  <si>
    <t>G259</t>
  </si>
  <si>
    <t>G618</t>
  </si>
  <si>
    <t>G311 (WT)</t>
  </si>
  <si>
    <t>BACK UP</t>
  </si>
  <si>
    <t>G308 (WT)</t>
  </si>
  <si>
    <t>Cohort 3</t>
  </si>
  <si>
    <t>G315</t>
  </si>
  <si>
    <t>HM</t>
  </si>
  <si>
    <t>G315 (1)</t>
  </si>
  <si>
    <t>G323</t>
  </si>
  <si>
    <t>G323 (2)</t>
  </si>
  <si>
    <t>G324 (3)</t>
  </si>
  <si>
    <t>G324</t>
  </si>
  <si>
    <t>G339 (4)</t>
  </si>
  <si>
    <t>G340 (5)</t>
  </si>
  <si>
    <t>G339</t>
  </si>
  <si>
    <t xml:space="preserve">HEROIN </t>
  </si>
  <si>
    <t>G360 (6)</t>
  </si>
  <si>
    <t>G361 (7)</t>
  </si>
  <si>
    <t>G340</t>
  </si>
  <si>
    <t>G363 (8)</t>
  </si>
  <si>
    <t>G366 (9)</t>
  </si>
  <si>
    <t>G360</t>
  </si>
  <si>
    <t>G365 (10)</t>
  </si>
  <si>
    <t>G361</t>
  </si>
  <si>
    <t>G391 (11)</t>
  </si>
  <si>
    <t>G368 (12)</t>
  </si>
  <si>
    <t>G363</t>
  </si>
  <si>
    <t>G370 (13)</t>
  </si>
  <si>
    <t>G392 (14)</t>
  </si>
  <si>
    <t>G366</t>
  </si>
  <si>
    <t>G373 (15)</t>
  </si>
  <si>
    <t>G374 (16)</t>
  </si>
  <si>
    <t>G365 (WT)</t>
  </si>
  <si>
    <t>G391</t>
  </si>
  <si>
    <t>G368</t>
  </si>
  <si>
    <t>G370</t>
  </si>
  <si>
    <t>G392 (WT)</t>
  </si>
  <si>
    <t>G373</t>
  </si>
  <si>
    <t>G374</t>
  </si>
  <si>
    <t>Cohort 4</t>
  </si>
  <si>
    <t>G326
(no eartag)</t>
  </si>
  <si>
    <t>G326 (1)</t>
  </si>
  <si>
    <t>G327 (2)</t>
  </si>
  <si>
    <t>G327</t>
  </si>
  <si>
    <t>CD</t>
  </si>
  <si>
    <t>G330 (3)</t>
  </si>
  <si>
    <t>G331 (4)</t>
  </si>
  <si>
    <t>G330</t>
  </si>
  <si>
    <t>G332 (5)</t>
  </si>
  <si>
    <t>G357 (6)</t>
  </si>
  <si>
    <t>G331</t>
  </si>
  <si>
    <t>G335 (7)</t>
  </si>
  <si>
    <t>G332</t>
  </si>
  <si>
    <t>G344 (8)</t>
  </si>
  <si>
    <t>G349 (9)</t>
  </si>
  <si>
    <t>G357</t>
  </si>
  <si>
    <t>G474 (10)</t>
  </si>
  <si>
    <t>G355 (11)</t>
  </si>
  <si>
    <t>G335</t>
  </si>
  <si>
    <t>G377 (12)</t>
  </si>
  <si>
    <t>G380 (13)</t>
  </si>
  <si>
    <t>G344</t>
  </si>
  <si>
    <t>G381 (14)</t>
  </si>
  <si>
    <t>G349</t>
  </si>
  <si>
    <t>G383 (15)</t>
  </si>
  <si>
    <t>G384 (16)</t>
  </si>
  <si>
    <t>G474</t>
  </si>
  <si>
    <t>G355
(no eartag)</t>
  </si>
  <si>
    <t>G377</t>
  </si>
  <si>
    <t>G380</t>
  </si>
  <si>
    <t>G381</t>
  </si>
  <si>
    <t>G383</t>
  </si>
  <si>
    <t>G384</t>
  </si>
  <si>
    <t>G329 (WT)</t>
  </si>
  <si>
    <t>NOT SURGERIZED</t>
  </si>
  <si>
    <t>G328 (WT)</t>
  </si>
  <si>
    <t>Mixed D1/D2 TRAP Cohort 1</t>
  </si>
  <si>
    <t>G418</t>
  </si>
  <si>
    <t>G418 (1)</t>
  </si>
  <si>
    <t>G419 (2)</t>
  </si>
  <si>
    <t>G419</t>
  </si>
  <si>
    <t>G408 (3)</t>
  </si>
  <si>
    <t>G412 (4)</t>
  </si>
  <si>
    <t>G408</t>
  </si>
  <si>
    <t>G393 (5)</t>
  </si>
  <si>
    <t>G397 (6)</t>
  </si>
  <si>
    <t>G412</t>
  </si>
  <si>
    <t>G426 (7)</t>
  </si>
  <si>
    <t>G428 (8)</t>
  </si>
  <si>
    <t>G393</t>
  </si>
  <si>
    <t>G494 (9)</t>
  </si>
  <si>
    <t>G495 (10)</t>
  </si>
  <si>
    <t>G397</t>
  </si>
  <si>
    <t>G411 (11)</t>
  </si>
  <si>
    <t>G413 (12)</t>
  </si>
  <si>
    <t>G426</t>
  </si>
  <si>
    <t>G409 (13)</t>
  </si>
  <si>
    <t>G410 (14)</t>
  </si>
  <si>
    <t>G428
(no eartag)</t>
  </si>
  <si>
    <t>T415 (15)</t>
  </si>
  <si>
    <t>T416 (16)</t>
  </si>
  <si>
    <t>G494</t>
  </si>
  <si>
    <t>G394 (BACK UP)</t>
  </si>
  <si>
    <t>G395 (BACK UP)</t>
  </si>
  <si>
    <t>G495</t>
  </si>
  <si>
    <t>G411</t>
  </si>
  <si>
    <t>G413</t>
  </si>
  <si>
    <t>G409</t>
  </si>
  <si>
    <t>G410</t>
  </si>
  <si>
    <t>T415</t>
  </si>
  <si>
    <t>T416</t>
  </si>
  <si>
    <t>G394
(no eartag)</t>
  </si>
  <si>
    <t>G395</t>
  </si>
  <si>
    <t>Male Long Evans on reverse light-dark cycle (lights OFF from 9am to 9pm)</t>
  </si>
  <si>
    <t>Running in 16 box room from 3/22 - 4/1</t>
  </si>
  <si>
    <t>Day off on 3/27/21</t>
  </si>
  <si>
    <t>9.5 intermittent access (3 hours ON &gt;&gt; 15 mins OFF x3)</t>
  </si>
  <si>
    <t>hard to flush</t>
  </si>
  <si>
    <t>drug line was found out/removed from blunt needle</t>
  </si>
  <si>
    <t>bloody ear tag</t>
  </si>
  <si>
    <t>program:</t>
  </si>
  <si>
    <t>HEROIN_9HR_FR1_INTERMITTENT_CUES_75MAX</t>
  </si>
  <si>
    <t>WEIGHT (G)</t>
  </si>
  <si>
    <t>DAY 1</t>
  </si>
  <si>
    <t>DAY 2</t>
  </si>
  <si>
    <t>DAY 3</t>
  </si>
  <si>
    <t>DAY 4</t>
  </si>
  <si>
    <t>DAY 5</t>
  </si>
  <si>
    <t>DAY OFF</t>
  </si>
  <si>
    <t>DAY 6</t>
  </si>
  <si>
    <t>DAY 7</t>
  </si>
  <si>
    <t>DAY 8</t>
  </si>
  <si>
    <t>DAY 9</t>
  </si>
  <si>
    <t>DAY 10</t>
  </si>
  <si>
    <t>Animal ID</t>
  </si>
  <si>
    <t>Box #</t>
  </si>
  <si>
    <t>HEROIN_9.5HOUR_INTERMITTENT_CUES_75MAX</t>
  </si>
  <si>
    <t>INFUSIONS</t>
  </si>
  <si>
    <t>ACTIVE LEVERS</t>
  </si>
  <si>
    <t>INACTIVE LEVERS</t>
  </si>
  <si>
    <t>Last 3 day avg</t>
  </si>
  <si>
    <t>Total avg</t>
  </si>
  <si>
    <t>CONDITION</t>
  </si>
  <si>
    <t>Average</t>
  </si>
  <si>
    <t>WS CR</t>
  </si>
  <si>
    <t>Day 30 Saline tissue</t>
  </si>
  <si>
    <t>Female Long Evans on reverse light-dark cycle (lights OFF from 9am to 9pm)</t>
  </si>
  <si>
    <t>G311 and one other heroin rat to be tested W-S</t>
  </si>
  <si>
    <t>Running in 16 box room from 4/26 - 5/6</t>
  </si>
  <si>
    <t>Day off on 5/3</t>
  </si>
  <si>
    <t>5 Day 1 tissue</t>
  </si>
  <si>
    <t>5 Day 30 tissue</t>
  </si>
  <si>
    <t>3 Saline tissue at Day 30</t>
  </si>
  <si>
    <t>Hard to flush</t>
  </si>
  <si>
    <t>Painful when flushed</t>
  </si>
  <si>
    <t>Fluid build up by back mount</t>
  </si>
  <si>
    <t>very warm, massive cyst</t>
  </si>
  <si>
    <t>pool of liquid forming when flushed</t>
  </si>
  <si>
    <t>Dead</t>
  </si>
  <si>
    <t>WS CR (potentially exclude)</t>
  </si>
  <si>
    <t>Saline Day 30 Tissue</t>
  </si>
  <si>
    <t>DEAD</t>
  </si>
  <si>
    <t>Resistance but flushable</t>
  </si>
  <si>
    <t>Drug line disrupted</t>
  </si>
  <si>
    <t>Unable to be flushed</t>
  </si>
  <si>
    <t>Neosporin applied</t>
  </si>
  <si>
    <t>ws</t>
  </si>
  <si>
    <t>Saline Day 30 tissue</t>
  </si>
  <si>
    <t>EXCLUDE</t>
  </si>
  <si>
    <t>NO WT RATS RUNNING, ALL POS</t>
  </si>
  <si>
    <t>Running in 16 box room from 7/27 - 8/5</t>
  </si>
  <si>
    <t>4 Day 1 tissue</t>
  </si>
  <si>
    <t>5 Saline tissue at Day 30</t>
  </si>
  <si>
    <t>2 WS CR</t>
  </si>
  <si>
    <t xml:space="preserve">Tether detached </t>
  </si>
  <si>
    <t>Painful flush</t>
  </si>
  <si>
    <t>Weird scabbed lesion on leg</t>
  </si>
  <si>
    <t>EXCLUDED</t>
  </si>
  <si>
    <t>Male and female Long Evans on reverse light-dark cycle (lights OFF from 9am to 9pm)</t>
  </si>
  <si>
    <t>Mix of D1-pos, D2-pos, and WT rats</t>
  </si>
  <si>
    <t>Running in 16 box room from 8/30 - 9/9 with a day off on 9/7</t>
  </si>
  <si>
    <t>D1 pos males:</t>
  </si>
  <si>
    <t>Both saline Day 30</t>
  </si>
  <si>
    <t>D1 pos females:</t>
  </si>
  <si>
    <t>3 saline Day 30</t>
  </si>
  <si>
    <t>3 heroin Day 1</t>
  </si>
  <si>
    <t>2 heroin Day 30</t>
  </si>
  <si>
    <t>WT females:</t>
  </si>
  <si>
    <t>2 heroin WS CR</t>
  </si>
  <si>
    <t>1 heroin Day 1</t>
  </si>
  <si>
    <t>1 heroin Day 30</t>
  </si>
  <si>
    <t>D2 pos males:</t>
  </si>
  <si>
    <t xml:space="preserve">could not remove cap-can't connect to tether </t>
  </si>
  <si>
    <t xml:space="preserve">implant chewed- can't connect to tether </t>
  </si>
  <si>
    <t xml:space="preserve">TAO applied </t>
  </si>
  <si>
    <t>Geno, sex</t>
  </si>
  <si>
    <t>D1 pos, M</t>
  </si>
  <si>
    <t>D1 pos, F</t>
  </si>
  <si>
    <t>WT, F</t>
  </si>
  <si>
    <t>D2 pos, M</t>
  </si>
  <si>
    <t>ACTIVE LEVER PRESSES</t>
  </si>
  <si>
    <t>INACTIVE LEVER PRESSES</t>
  </si>
  <si>
    <t>died in incubation</t>
  </si>
  <si>
    <t>7 red</t>
  </si>
  <si>
    <t>1 orange</t>
  </si>
  <si>
    <t>DATE: 8/30/21</t>
  </si>
  <si>
    <t>1 yellow</t>
  </si>
  <si>
    <t>**PLEASE WEIGH AFTER RUNNING ON MONDAY, 8/30 PM**</t>
  </si>
  <si>
    <t>Temp:                   Humidity:</t>
  </si>
  <si>
    <t>DOSE</t>
  </si>
  <si>
    <t>WEIGHT</t>
  </si>
  <si>
    <t>PROGRAM</t>
  </si>
  <si>
    <t>INF</t>
  </si>
  <si>
    <t>ACTIVE</t>
  </si>
  <si>
    <t>INACTIVE</t>
  </si>
  <si>
    <t>NOTES</t>
  </si>
  <si>
    <t>orange</t>
  </si>
  <si>
    <t>red</t>
  </si>
  <si>
    <t>yellow</t>
  </si>
  <si>
    <t>DATE: 8/31/21</t>
  </si>
  <si>
    <t>USE WEIGHTS FROM YESTERDAY TO UPDATE DOSES</t>
  </si>
  <si>
    <t>DATE: 9/1/21</t>
  </si>
  <si>
    <t>DATE: 9/2/21</t>
  </si>
  <si>
    <t>**PLEASE WEIGH AFTER RUNNING ON THURSDAY, 9/2 PM**</t>
  </si>
  <si>
    <t>DATE: 9/3/21</t>
  </si>
  <si>
    <t>DATE: 9/4/21</t>
  </si>
  <si>
    <t>DATE: 9/5/21</t>
  </si>
  <si>
    <t>DATE: 9/6/21</t>
  </si>
  <si>
    <t>**PLEASE WEIGH AFTER RUNNING ON MONDAY, 9/6 PM**</t>
  </si>
  <si>
    <t>DAY OFF ON 9/7 - DO NOT RUN! FEMALES MUST STILL BE LAVAGED.</t>
  </si>
  <si>
    <t>DATE: 9/8/21</t>
  </si>
  <si>
    <t>USE WEIGHTS FROM MONDAY TO UPDATE DOSES</t>
  </si>
  <si>
    <t>DATE: 9/9/21</t>
  </si>
  <si>
    <t>COHORT 1</t>
  </si>
  <si>
    <t>DAY 1 - 4/2/21</t>
  </si>
  <si>
    <t>30 min within-subjects cue tests with locomotion vids + USVs</t>
  </si>
  <si>
    <t>Estrous cycle</t>
  </si>
  <si>
    <t>Sex/Geno</t>
  </si>
  <si>
    <t>ANIMAL ID</t>
  </si>
  <si>
    <t>BOX</t>
  </si>
  <si>
    <t>ACTIVE LEVER</t>
  </si>
  <si>
    <t>INACTIVE LEVER</t>
  </si>
  <si>
    <t>Locomotion videos</t>
  </si>
  <si>
    <t>USVs</t>
  </si>
  <si>
    <t>N/A</t>
  </si>
  <si>
    <t>M, Pos</t>
  </si>
  <si>
    <t>YES</t>
  </si>
  <si>
    <t>DAY 30 - 5/3/21</t>
  </si>
  <si>
    <t>COHORT 2</t>
  </si>
  <si>
    <t>DAY 1 - 5/7/21</t>
  </si>
  <si>
    <t>Estrus</t>
  </si>
  <si>
    <t>F, Pos</t>
  </si>
  <si>
    <t>D1</t>
  </si>
  <si>
    <t>F, WT</t>
  </si>
  <si>
    <t>G311</t>
  </si>
  <si>
    <t xml:space="preserve">                                                                       </t>
  </si>
  <si>
    <t>estrus</t>
  </si>
  <si>
    <t>COHORT 3</t>
  </si>
  <si>
    <t>DAY 1 - 7/23/21</t>
  </si>
  <si>
    <t>M, WT</t>
  </si>
  <si>
    <t>G365</t>
  </si>
  <si>
    <t>G392</t>
  </si>
  <si>
    <t>DAY 30 - 8/23/21</t>
  </si>
  <si>
    <t>COHORT 4</t>
  </si>
  <si>
    <t>DAY 1 - 8/6/21</t>
  </si>
  <si>
    <t>DAY 30 - 9/7/21</t>
  </si>
  <si>
    <t>MIXED D1/D2 TRAP COHORT 1</t>
  </si>
  <si>
    <t>DAY 1 - 9/10/21</t>
  </si>
  <si>
    <t>proestrus</t>
  </si>
  <si>
    <t>DAY 30 - 10/11/21</t>
  </si>
  <si>
    <t>Estrus = Proestrus &amp; Estrus</t>
  </si>
  <si>
    <t>Non-estrus = Diestrus 1 and diestrus 2</t>
  </si>
  <si>
    <t>Not Lavaged / Inconclusive</t>
  </si>
  <si>
    <t>NIGHT 1</t>
  </si>
  <si>
    <t>NIGHT 2</t>
  </si>
  <si>
    <t>NIGHT 3</t>
  </si>
  <si>
    <t>NIGHT 4</t>
  </si>
  <si>
    <t>NIGHT 5</t>
  </si>
  <si>
    <t>NIGHT 6</t>
  </si>
  <si>
    <t>NIGHT 7</t>
  </si>
  <si>
    <t>NIGHT 8</t>
  </si>
  <si>
    <t>NIGHT 9</t>
  </si>
  <si>
    <t>NIGHT 10</t>
  </si>
  <si>
    <t>cycle 1</t>
  </si>
  <si>
    <t>cycle 2</t>
  </si>
  <si>
    <t>cycle 3</t>
  </si>
  <si>
    <t>cycle 4</t>
  </si>
  <si>
    <t>avg. cycle length</t>
  </si>
  <si>
    <t># of cycles</t>
  </si>
  <si>
    <t>avg. cycle length for cycle 1 and 2</t>
  </si>
  <si>
    <t>D1/D2 COHORT 1</t>
  </si>
  <si>
    <t>G326 (no eartag)</t>
  </si>
  <si>
    <t>G355 (no eartag)</t>
  </si>
  <si>
    <t>G428 (no eartag)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</si>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</sst>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2F75B5"/>
      <name val="Calibri"/>
      <family val="2"/>
      <scheme val="minor"/>
    </font>
    <font>
      <b/>
      <sz val="11"/>
      <color rgb="FFFF66FF"/>
      <name val="Calibri"/>
      <family val="2"/>
      <scheme val="minor"/>
    </font>
    <font>
      <b/>
      <sz val="9"/>
      <color rgb="FFFF66FF"/>
      <name val="Calibri"/>
      <family val="2"/>
      <scheme val="minor"/>
    </font>
    <font>
      <b/>
      <sz val="18"/>
      <color rgb="FF2F75B5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FF66FF"/>
      <name val="Calibri"/>
      <family val="2"/>
      <scheme val="minor"/>
    </font>
    <font>
      <b/>
      <i/>
      <sz val="24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757171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/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182">
    <xf numFmtId="0" fontId="0" fillId="0" borderId="0" xfId="0"/>
    <xf numFmtId="0" fontId="3" fillId="0" borderId="0" xfId="1" applyFont="1"/>
    <xf numFmtId="0" fontId="4" fillId="0" borderId="0" xfId="1" applyFont="1"/>
    <xf numFmtId="0" fontId="2" fillId="0" borderId="5" xfId="1" applyBorder="1"/>
    <xf numFmtId="0" fontId="2" fillId="0" borderId="1" xfId="1" applyBorder="1"/>
    <xf numFmtId="0" fontId="2" fillId="0" borderId="3" xfId="1" applyBorder="1"/>
    <xf numFmtId="0" fontId="2" fillId="0" borderId="9" xfId="1" applyBorder="1"/>
    <xf numFmtId="0" fontId="2" fillId="0" borderId="0" xfId="1"/>
    <xf numFmtId="14" fontId="2" fillId="0" borderId="0" xfId="1" applyNumberFormat="1"/>
    <xf numFmtId="0" fontId="2" fillId="2" borderId="4" xfId="1" applyFill="1" applyBorder="1"/>
    <xf numFmtId="0" fontId="0" fillId="0" borderId="1" xfId="0" applyBorder="1"/>
    <xf numFmtId="0" fontId="5" fillId="0" borderId="1" xfId="1" applyFont="1" applyBorder="1"/>
    <xf numFmtId="14" fontId="0" fillId="0" borderId="0" xfId="0" applyNumberFormat="1"/>
    <xf numFmtId="0" fontId="1" fillId="0" borderId="1" xfId="0" applyFont="1" applyBorder="1"/>
    <xf numFmtId="0" fontId="0" fillId="0" borderId="0" xfId="1" applyFont="1"/>
    <xf numFmtId="0" fontId="6" fillId="0" borderId="0" xfId="0" applyFont="1"/>
    <xf numFmtId="0" fontId="0" fillId="0" borderId="0" xfId="0" applyAlignment="1">
      <alignment horizontal="left"/>
    </xf>
    <xf numFmtId="0" fontId="2" fillId="2" borderId="1" xfId="1" applyFill="1" applyBorder="1"/>
    <xf numFmtId="0" fontId="2" fillId="2" borderId="6" xfId="1" applyFill="1" applyBorder="1"/>
    <xf numFmtId="0" fontId="2" fillId="2" borderId="8" xfId="1" applyFill="1" applyBorder="1"/>
    <xf numFmtId="0" fontId="2" fillId="0" borderId="7" xfId="1" applyBorder="1"/>
    <xf numFmtId="14" fontId="7" fillId="0" borderId="0" xfId="1" applyNumberFormat="1" applyFont="1"/>
    <xf numFmtId="0" fontId="7" fillId="0" borderId="0" xfId="1" applyFont="1"/>
    <xf numFmtId="0" fontId="8" fillId="3" borderId="0" xfId="1" applyFont="1" applyFill="1"/>
    <xf numFmtId="0" fontId="8" fillId="0" borderId="0" xfId="1" applyFont="1"/>
    <xf numFmtId="0" fontId="8" fillId="0" borderId="6" xfId="1" applyFont="1" applyBorder="1"/>
    <xf numFmtId="0" fontId="7" fillId="3" borderId="0" xfId="1" applyFont="1" applyFill="1" applyAlignment="1">
      <alignment wrapText="1"/>
    </xf>
    <xf numFmtId="0" fontId="7" fillId="0" borderId="0" xfId="1" applyFont="1" applyAlignment="1">
      <alignment wrapText="1"/>
    </xf>
    <xf numFmtId="0" fontId="10" fillId="0" borderId="5" xfId="1" applyFont="1" applyBorder="1"/>
    <xf numFmtId="0" fontId="11" fillId="0" borderId="0" xfId="0" applyFont="1" applyAlignment="1">
      <alignment wrapText="1"/>
    </xf>
    <xf numFmtId="0" fontId="2" fillId="4" borderId="1" xfId="1" applyFill="1" applyBorder="1"/>
    <xf numFmtId="0" fontId="2" fillId="5" borderId="5" xfId="1" applyFill="1" applyBorder="1"/>
    <xf numFmtId="0" fontId="2" fillId="6" borderId="7" xfId="1" applyFill="1" applyBorder="1"/>
    <xf numFmtId="0" fontId="11" fillId="6" borderId="0" xfId="0" applyFont="1" applyFill="1" applyAlignment="1">
      <alignment wrapText="1"/>
    </xf>
    <xf numFmtId="0" fontId="12" fillId="4" borderId="1" xfId="1" applyFont="1" applyFill="1" applyBorder="1"/>
    <xf numFmtId="0" fontId="11" fillId="4" borderId="0" xfId="0" applyFont="1" applyFill="1" applyAlignment="1">
      <alignment wrapText="1"/>
    </xf>
    <xf numFmtId="0" fontId="11" fillId="5" borderId="0" xfId="0" applyFont="1" applyFill="1" applyAlignment="1">
      <alignment wrapText="1"/>
    </xf>
    <xf numFmtId="0" fontId="1" fillId="0" borderId="0" xfId="0" applyFont="1"/>
    <xf numFmtId="0" fontId="2" fillId="6" borderId="1" xfId="1" applyFill="1" applyBorder="1"/>
    <xf numFmtId="0" fontId="0" fillId="0" borderId="0" xfId="0" applyAlignment="1">
      <alignment horizontal="right"/>
    </xf>
    <xf numFmtId="0" fontId="2" fillId="6" borderId="5" xfId="1" applyFill="1" applyBorder="1"/>
    <xf numFmtId="0" fontId="11" fillId="7" borderId="0" xfId="0" applyFont="1" applyFill="1" applyAlignment="1">
      <alignment wrapText="1"/>
    </xf>
    <xf numFmtId="0" fontId="11" fillId="4" borderId="10" xfId="0" applyFont="1" applyFill="1" applyBorder="1" applyAlignment="1">
      <alignment wrapText="1"/>
    </xf>
    <xf numFmtId="0" fontId="0" fillId="0" borderId="10" xfId="0" applyBorder="1"/>
    <xf numFmtId="0" fontId="11" fillId="7" borderId="10" xfId="0" applyFont="1" applyFill="1" applyBorder="1" applyAlignment="1">
      <alignment wrapText="1"/>
    </xf>
    <xf numFmtId="0" fontId="0" fillId="0" borderId="3" xfId="0" applyBorder="1"/>
    <xf numFmtId="0" fontId="2" fillId="5" borderId="1" xfId="1" applyFill="1" applyBorder="1"/>
    <xf numFmtId="0" fontId="0" fillId="6" borderId="0" xfId="0" applyFill="1"/>
    <xf numFmtId="0" fontId="2" fillId="4" borderId="3" xfId="1" applyFill="1" applyBorder="1"/>
    <xf numFmtId="0" fontId="0" fillId="8" borderId="0" xfId="0" applyFill="1"/>
    <xf numFmtId="0" fontId="2" fillId="8" borderId="1" xfId="1" applyFill="1" applyBorder="1"/>
    <xf numFmtId="0" fontId="0" fillId="9" borderId="0" xfId="0" applyFill="1"/>
    <xf numFmtId="0" fontId="2" fillId="9" borderId="1" xfId="1" applyFill="1" applyBorder="1"/>
    <xf numFmtId="0" fontId="1" fillId="0" borderId="0" xfId="1" applyFont="1"/>
    <xf numFmtId="0" fontId="0" fillId="10" borderId="0" xfId="0" applyFill="1"/>
    <xf numFmtId="0" fontId="0" fillId="11" borderId="0" xfId="0" applyFill="1"/>
    <xf numFmtId="0" fontId="2" fillId="0" borderId="11" xfId="1" applyBorder="1"/>
    <xf numFmtId="0" fontId="0" fillId="12" borderId="10" xfId="0" applyFill="1" applyBorder="1"/>
    <xf numFmtId="0" fontId="0" fillId="0" borderId="12" xfId="0" applyBorder="1"/>
    <xf numFmtId="0" fontId="6" fillId="0" borderId="10" xfId="0" applyFont="1" applyBorder="1"/>
    <xf numFmtId="0" fontId="6" fillId="13" borderId="10" xfId="0" applyFont="1" applyFill="1" applyBorder="1"/>
    <xf numFmtId="0" fontId="6" fillId="0" borderId="0" xfId="1" applyFont="1"/>
    <xf numFmtId="0" fontId="0" fillId="6" borderId="12" xfId="0" applyFill="1" applyBorder="1"/>
    <xf numFmtId="0" fontId="0" fillId="6" borderId="10" xfId="0" applyFill="1" applyBorder="1"/>
    <xf numFmtId="0" fontId="0" fillId="5" borderId="0" xfId="0" applyFill="1"/>
    <xf numFmtId="0" fontId="0" fillId="5" borderId="10" xfId="0" applyFill="1" applyBorder="1"/>
    <xf numFmtId="0" fontId="0" fillId="14" borderId="0" xfId="0" applyFill="1"/>
    <xf numFmtId="0" fontId="0" fillId="14" borderId="10" xfId="0" applyFill="1" applyBorder="1"/>
    <xf numFmtId="0" fontId="0" fillId="15" borderId="0" xfId="0" applyFill="1"/>
    <xf numFmtId="0" fontId="0" fillId="15" borderId="10" xfId="0" applyFill="1" applyBorder="1"/>
    <xf numFmtId="0" fontId="5" fillId="0" borderId="0" xfId="0" applyFont="1" applyAlignment="1">
      <alignment wrapText="1"/>
    </xf>
    <xf numFmtId="0" fontId="5" fillId="0" borderId="10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0" fillId="0" borderId="13" xfId="0" applyBorder="1"/>
    <xf numFmtId="0" fontId="0" fillId="7" borderId="0" xfId="0" applyFill="1"/>
    <xf numFmtId="0" fontId="2" fillId="7" borderId="5" xfId="1" applyFill="1" applyBorder="1"/>
    <xf numFmtId="0" fontId="2" fillId="7" borderId="1" xfId="1" applyFill="1" applyBorder="1"/>
    <xf numFmtId="0" fontId="0" fillId="4" borderId="0" xfId="0" applyFill="1" applyAlignment="1">
      <alignment wrapText="1"/>
    </xf>
    <xf numFmtId="0" fontId="11" fillId="0" borderId="5" xfId="0" applyFont="1" applyBorder="1" applyAlignment="1">
      <alignment wrapText="1"/>
    </xf>
    <xf numFmtId="0" fontId="2" fillId="0" borderId="12" xfId="1" applyBorder="1"/>
    <xf numFmtId="0" fontId="2" fillId="0" borderId="10" xfId="1" applyBorder="1"/>
    <xf numFmtId="0" fontId="11" fillId="0" borderId="1" xfId="0" applyFont="1" applyBorder="1" applyAlignment="1">
      <alignment wrapText="1"/>
    </xf>
    <xf numFmtId="0" fontId="11" fillId="0" borderId="0" xfId="0" applyFont="1"/>
    <xf numFmtId="0" fontId="2" fillId="0" borderId="1" xfId="1" applyBorder="1" applyAlignment="1">
      <alignment horizontal="left"/>
    </xf>
    <xf numFmtId="0" fontId="6" fillId="17" borderId="0" xfId="0" applyFont="1" applyFill="1" applyAlignment="1">
      <alignment vertical="center" wrapText="1"/>
    </xf>
    <xf numFmtId="0" fontId="6" fillId="18" borderId="0" xfId="0" applyFont="1" applyFill="1" applyAlignment="1">
      <alignment vertical="center" wrapText="1"/>
    </xf>
    <xf numFmtId="0" fontId="2" fillId="0" borderId="14" xfId="1" applyBorder="1"/>
    <xf numFmtId="0" fontId="2" fillId="0" borderId="15" xfId="1" applyBorder="1"/>
    <xf numFmtId="0" fontId="2" fillId="0" borderId="16" xfId="1" applyBorder="1"/>
    <xf numFmtId="0" fontId="13" fillId="0" borderId="0" xfId="0" applyFont="1"/>
    <xf numFmtId="0" fontId="0" fillId="0" borderId="0" xfId="0" applyAlignment="1">
      <alignment horizontal="center"/>
    </xf>
    <xf numFmtId="0" fontId="2" fillId="0" borderId="5" xfId="1" applyBorder="1" applyAlignment="1">
      <alignment horizontal="left"/>
    </xf>
    <xf numFmtId="0" fontId="6" fillId="19" borderId="0" xfId="0" applyFont="1" applyFill="1" applyAlignment="1">
      <alignment horizontal="center" vertical="center"/>
    </xf>
    <xf numFmtId="0" fontId="10" fillId="0" borderId="0" xfId="0" applyFont="1" applyAlignment="1">
      <alignment wrapText="1"/>
    </xf>
    <xf numFmtId="0" fontId="2" fillId="12" borderId="1" xfId="1" applyFill="1" applyBorder="1"/>
    <xf numFmtId="0" fontId="14" fillId="0" borderId="13" xfId="0" applyFont="1" applyBorder="1"/>
    <xf numFmtId="0" fontId="15" fillId="0" borderId="13" xfId="0" applyFont="1" applyBorder="1"/>
    <xf numFmtId="0" fontId="16" fillId="0" borderId="13" xfId="0" applyFont="1" applyBorder="1" applyAlignment="1">
      <alignment wrapText="1"/>
    </xf>
    <xf numFmtId="0" fontId="8" fillId="0" borderId="10" xfId="0" applyFont="1" applyBorder="1"/>
    <xf numFmtId="0" fontId="18" fillId="0" borderId="10" xfId="0" applyFont="1" applyBorder="1"/>
    <xf numFmtId="0" fontId="8" fillId="0" borderId="10" xfId="1" applyFont="1" applyBorder="1"/>
    <xf numFmtId="0" fontId="19" fillId="0" borderId="10" xfId="0" applyFont="1" applyBorder="1"/>
    <xf numFmtId="0" fontId="9" fillId="0" borderId="10" xfId="1" applyFont="1" applyBorder="1"/>
    <xf numFmtId="0" fontId="19" fillId="0" borderId="10" xfId="0" applyFont="1" applyBorder="1" applyAlignment="1">
      <alignment wrapText="1"/>
    </xf>
    <xf numFmtId="0" fontId="8" fillId="0" borderId="19" xfId="1" applyFont="1" applyBorder="1" applyAlignment="1">
      <alignment wrapText="1"/>
    </xf>
    <xf numFmtId="0" fontId="8" fillId="0" borderId="20" xfId="0" applyFont="1" applyBorder="1"/>
    <xf numFmtId="0" fontId="8" fillId="0" borderId="7" xfId="1" applyFont="1" applyBorder="1" applyAlignment="1">
      <alignment wrapText="1"/>
    </xf>
    <xf numFmtId="0" fontId="8" fillId="0" borderId="2" xfId="1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17" fillId="13" borderId="10" xfId="0" applyFont="1" applyFill="1" applyBorder="1"/>
    <xf numFmtId="0" fontId="18" fillId="13" borderId="10" xfId="0" applyFont="1" applyFill="1" applyBorder="1"/>
    <xf numFmtId="0" fontId="19" fillId="13" borderId="10" xfId="0" applyFont="1" applyFill="1" applyBorder="1"/>
    <xf numFmtId="0" fontId="17" fillId="0" borderId="0" xfId="0" applyFont="1"/>
    <xf numFmtId="0" fontId="18" fillId="0" borderId="0" xfId="0" applyFont="1"/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7" borderId="12" xfId="0" applyFill="1" applyBorder="1"/>
    <xf numFmtId="0" fontId="0" fillId="5" borderId="12" xfId="0" applyFill="1" applyBorder="1"/>
    <xf numFmtId="0" fontId="2" fillId="4" borderId="5" xfId="1" applyFill="1" applyBorder="1"/>
    <xf numFmtId="0" fontId="11" fillId="5" borderId="12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2" fillId="0" borderId="10" xfId="1" applyBorder="1" applyAlignment="1">
      <alignment horizontal="left"/>
    </xf>
    <xf numFmtId="0" fontId="2" fillId="0" borderId="6" xfId="1" applyBorder="1" applyAlignment="1">
      <alignment horizontal="left"/>
    </xf>
    <xf numFmtId="0" fontId="0" fillId="0" borderId="19" xfId="0" applyBorder="1"/>
    <xf numFmtId="0" fontId="2" fillId="0" borderId="20" xfId="1" applyBorder="1"/>
    <xf numFmtId="0" fontId="2" fillId="0" borderId="21" xfId="1" applyBorder="1"/>
    <xf numFmtId="0" fontId="2" fillId="0" borderId="20" xfId="1" applyBorder="1" applyAlignment="1">
      <alignment horizontal="left"/>
    </xf>
    <xf numFmtId="0" fontId="0" fillId="0" borderId="20" xfId="0" applyBorder="1"/>
    <xf numFmtId="0" fontId="2" fillId="0" borderId="14" xfId="1" applyBorder="1" applyAlignment="1">
      <alignment horizontal="left"/>
    </xf>
    <xf numFmtId="0" fontId="0" fillId="0" borderId="14" xfId="0" applyBorder="1"/>
    <xf numFmtId="0" fontId="2" fillId="0" borderId="17" xfId="1" applyBorder="1" applyAlignment="1">
      <alignment horizontal="left"/>
    </xf>
    <xf numFmtId="0" fontId="0" fillId="0" borderId="17" xfId="0" applyBorder="1"/>
    <xf numFmtId="0" fontId="2" fillId="0" borderId="29" xfId="1" applyBorder="1" applyAlignment="1">
      <alignment horizontal="left"/>
    </xf>
    <xf numFmtId="0" fontId="0" fillId="0" borderId="29" xfId="0" applyBorder="1"/>
    <xf numFmtId="0" fontId="2" fillId="0" borderId="30" xfId="1" applyBorder="1" applyAlignment="1">
      <alignment horizontal="left"/>
    </xf>
    <xf numFmtId="0" fontId="2" fillId="0" borderId="31" xfId="1" applyBorder="1" applyAlignment="1">
      <alignment horizontal="left"/>
    </xf>
    <xf numFmtId="0" fontId="0" fillId="0" borderId="32" xfId="0" applyBorder="1"/>
    <xf numFmtId="0" fontId="2" fillId="19" borderId="20" xfId="1" applyFill="1" applyBorder="1"/>
    <xf numFmtId="0" fontId="2" fillId="19" borderId="21" xfId="1" applyFill="1" applyBorder="1"/>
    <xf numFmtId="0" fontId="2" fillId="19" borderId="1" xfId="1" applyFill="1" applyBorder="1"/>
    <xf numFmtId="0" fontId="2" fillId="19" borderId="34" xfId="1" applyFill="1" applyBorder="1"/>
    <xf numFmtId="0" fontId="0" fillId="17" borderId="17" xfId="0" applyFill="1" applyBorder="1"/>
    <xf numFmtId="0" fontId="0" fillId="18" borderId="17" xfId="0" applyFill="1" applyBorder="1"/>
    <xf numFmtId="0" fontId="2" fillId="17" borderId="5" xfId="1" applyFill="1" applyBorder="1"/>
    <xf numFmtId="0" fontId="0" fillId="18" borderId="10" xfId="0" applyFill="1" applyBorder="1"/>
    <xf numFmtId="0" fontId="2" fillId="18" borderId="5" xfId="1" applyFill="1" applyBorder="1"/>
    <xf numFmtId="0" fontId="2" fillId="18" borderId="1" xfId="1" applyFill="1" applyBorder="1"/>
    <xf numFmtId="0" fontId="2" fillId="17" borderId="1" xfId="1" applyFill="1" applyBorder="1"/>
    <xf numFmtId="0" fontId="2" fillId="17" borderId="34" xfId="1" applyFill="1" applyBorder="1"/>
    <xf numFmtId="0" fontId="0" fillId="17" borderId="14" xfId="0" applyFill="1" applyBorder="1"/>
    <xf numFmtId="0" fontId="0" fillId="17" borderId="15" xfId="0" applyFill="1" applyBorder="1"/>
    <xf numFmtId="0" fontId="0" fillId="18" borderId="14" xfId="0" applyFill="1" applyBorder="1"/>
    <xf numFmtId="0" fontId="0" fillId="17" borderId="10" xfId="0" applyFill="1" applyBorder="1"/>
    <xf numFmtId="0" fontId="0" fillId="17" borderId="16" xfId="0" applyFill="1" applyBorder="1"/>
    <xf numFmtId="0" fontId="0" fillId="18" borderId="16" xfId="0" applyFill="1" applyBorder="1"/>
    <xf numFmtId="0" fontId="0" fillId="18" borderId="18" xfId="0" applyFill="1" applyBorder="1"/>
    <xf numFmtId="0" fontId="0" fillId="18" borderId="15" xfId="0" applyFill="1" applyBorder="1"/>
    <xf numFmtId="0" fontId="0" fillId="18" borderId="12" xfId="0" applyFill="1" applyBorder="1"/>
    <xf numFmtId="0" fontId="0" fillId="18" borderId="29" xfId="0" applyFill="1" applyBorder="1"/>
    <xf numFmtId="0" fontId="2" fillId="18" borderId="34" xfId="1" applyFill="1" applyBorder="1"/>
    <xf numFmtId="0" fontId="2" fillId="18" borderId="35" xfId="1" applyFill="1" applyBorder="1"/>
    <xf numFmtId="0" fontId="0" fillId="17" borderId="12" xfId="0" applyFill="1" applyBorder="1"/>
    <xf numFmtId="0" fontId="2" fillId="17" borderId="36" xfId="1" applyFill="1" applyBorder="1"/>
    <xf numFmtId="0" fontId="0" fillId="17" borderId="29" xfId="0" applyFill="1" applyBorder="1"/>
    <xf numFmtId="0" fontId="2" fillId="0" borderId="4" xfId="1" applyFill="1" applyBorder="1"/>
    <xf numFmtId="0" fontId="0" fillId="0" borderId="0" xfId="0" applyFill="1"/>
    <xf numFmtId="0" fontId="20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6" fillId="16" borderId="0" xfId="0" applyFont="1" applyFill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 vertical="center" textRotation="90"/>
    </xf>
    <xf numFmtId="0" fontId="3" fillId="0" borderId="33" xfId="0" applyFont="1" applyBorder="1" applyAlignment="1">
      <alignment horizontal="center" vertical="center" textRotation="90"/>
    </xf>
    <xf numFmtId="0" fontId="3" fillId="0" borderId="25" xfId="0" applyFont="1" applyBorder="1" applyAlignment="1">
      <alignment horizontal="center" vertical="center" textRotation="90"/>
    </xf>
    <xf numFmtId="0" fontId="3" fillId="0" borderId="26" xfId="0" applyFont="1" applyBorder="1" applyAlignment="1">
      <alignment horizontal="center" vertical="center" textRotation="90"/>
    </xf>
    <xf numFmtId="0" fontId="3" fillId="0" borderId="27" xfId="0" applyFont="1" applyBorder="1" applyAlignment="1">
      <alignment horizontal="center" vertical="center" textRotation="90"/>
    </xf>
  </cellXfs>
  <cellStyles count="2">
    <cellStyle name="Normal" xfId="0" builtinId="0"/>
    <cellStyle name="Normal 2" xfId="1" xr:uid="{00000000-0005-0000-0000-000001000000}"/>
  </cellStyles>
  <dxfs count="1">
    <dxf>
      <fill>
        <patternFill patternType="solid">
          <fgColor rgb="FFED7D31"/>
          <bgColor rgb="FF000000"/>
        </patternFill>
      </fill>
    </dxf>
  </dxfs>
  <tableStyles count="0" defaultTableStyle="TableStyleMedium2" defaultPivotStyle="PivotStyleLight16"/>
  <colors>
    <mruColors>
      <color rgb="FF009999"/>
      <color rgb="FFFF66FF"/>
      <color rgb="FF50C7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07"/>
  <sheetViews>
    <sheetView workbookViewId="0">
      <selection activeCell="B18" sqref="B18"/>
    </sheetView>
  </sheetViews>
  <sheetFormatPr defaultRowHeight="15" x14ac:dyDescent="0.25"/>
  <cols>
    <col min="1" max="1" width="13" bestFit="1" customWidth="1"/>
    <col min="2" max="2" width="9.85546875" customWidth="1"/>
    <col min="3" max="3" width="13.85546875" bestFit="1" customWidth="1"/>
    <col min="5" max="5" width="11.28515625" bestFit="1" customWidth="1"/>
    <col min="6" max="6" width="24" customWidth="1"/>
    <col min="8" max="8" width="22.140625" bestFit="1" customWidth="1"/>
    <col min="9" max="9" width="16.5703125" bestFit="1" customWidth="1"/>
  </cols>
  <sheetData>
    <row r="2" spans="1:14" x14ac:dyDescent="0.25">
      <c r="A2" s="2" t="s">
        <v>0</v>
      </c>
      <c r="B2" s="2" t="s">
        <v>1</v>
      </c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15.7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7"/>
      <c r="I3" t="s">
        <v>9</v>
      </c>
      <c r="M3" s="7"/>
      <c r="N3" s="7"/>
    </row>
    <row r="4" spans="1:14" x14ac:dyDescent="0.25">
      <c r="A4">
        <v>1</v>
      </c>
      <c r="B4" t="s">
        <v>10</v>
      </c>
      <c r="C4" s="12">
        <v>44272</v>
      </c>
      <c r="D4" t="s">
        <v>11</v>
      </c>
      <c r="E4">
        <v>514</v>
      </c>
      <c r="F4" t="s">
        <v>12</v>
      </c>
      <c r="I4" t="s">
        <v>13</v>
      </c>
      <c r="J4" t="s">
        <v>14</v>
      </c>
    </row>
    <row r="5" spans="1:14" x14ac:dyDescent="0.25">
      <c r="A5">
        <v>2</v>
      </c>
      <c r="B5" t="s">
        <v>15</v>
      </c>
      <c r="C5" s="12">
        <v>44272</v>
      </c>
      <c r="D5" t="s">
        <v>11</v>
      </c>
      <c r="E5">
        <v>548</v>
      </c>
      <c r="F5" t="s">
        <v>12</v>
      </c>
      <c r="I5" t="s">
        <v>16</v>
      </c>
      <c r="J5" t="s">
        <v>17</v>
      </c>
    </row>
    <row r="6" spans="1:14" x14ac:dyDescent="0.25">
      <c r="A6">
        <v>3</v>
      </c>
      <c r="B6" t="s">
        <v>18</v>
      </c>
      <c r="C6" s="12">
        <v>44272</v>
      </c>
      <c r="D6" t="s">
        <v>11</v>
      </c>
      <c r="E6">
        <v>576</v>
      </c>
      <c r="F6" t="s">
        <v>19</v>
      </c>
      <c r="I6" t="s">
        <v>20</v>
      </c>
      <c r="J6" t="s">
        <v>21</v>
      </c>
    </row>
    <row r="7" spans="1:14" x14ac:dyDescent="0.25">
      <c r="A7">
        <v>4</v>
      </c>
      <c r="B7" t="s">
        <v>22</v>
      </c>
      <c r="C7" s="12">
        <v>44272</v>
      </c>
      <c r="D7" t="s">
        <v>11</v>
      </c>
      <c r="E7">
        <v>565</v>
      </c>
      <c r="F7" t="s">
        <v>12</v>
      </c>
      <c r="I7" t="s">
        <v>23</v>
      </c>
      <c r="J7" t="s">
        <v>24</v>
      </c>
    </row>
    <row r="8" spans="1:14" x14ac:dyDescent="0.25">
      <c r="A8">
        <v>5</v>
      </c>
      <c r="B8" t="s">
        <v>25</v>
      </c>
      <c r="C8" s="12">
        <v>44272</v>
      </c>
      <c r="D8" t="s">
        <v>11</v>
      </c>
      <c r="E8">
        <v>493</v>
      </c>
      <c r="F8" t="s">
        <v>12</v>
      </c>
      <c r="I8" t="s">
        <v>26</v>
      </c>
      <c r="J8" t="s">
        <v>27</v>
      </c>
    </row>
    <row r="9" spans="1:14" x14ac:dyDescent="0.25">
      <c r="A9">
        <v>6</v>
      </c>
      <c r="B9" t="s">
        <v>28</v>
      </c>
      <c r="C9" s="12">
        <v>44272</v>
      </c>
      <c r="D9" t="s">
        <v>11</v>
      </c>
      <c r="E9">
        <v>581</v>
      </c>
      <c r="F9" t="s">
        <v>12</v>
      </c>
      <c r="I9" t="s">
        <v>29</v>
      </c>
      <c r="J9" t="s">
        <v>17</v>
      </c>
    </row>
    <row r="10" spans="1:14" x14ac:dyDescent="0.25">
      <c r="A10">
        <v>7</v>
      </c>
      <c r="B10" t="s">
        <v>30</v>
      </c>
      <c r="C10" s="12">
        <v>44272</v>
      </c>
      <c r="D10" t="s">
        <v>11</v>
      </c>
      <c r="E10">
        <v>555</v>
      </c>
      <c r="F10" t="s">
        <v>12</v>
      </c>
      <c r="I10" t="s">
        <v>31</v>
      </c>
      <c r="J10" t="s">
        <v>32</v>
      </c>
    </row>
    <row r="11" spans="1:14" x14ac:dyDescent="0.25">
      <c r="A11">
        <v>8</v>
      </c>
      <c r="B11" t="s">
        <v>33</v>
      </c>
      <c r="C11" s="12">
        <v>44272</v>
      </c>
      <c r="D11" t="s">
        <v>11</v>
      </c>
      <c r="E11">
        <v>590</v>
      </c>
      <c r="F11" t="s">
        <v>19</v>
      </c>
      <c r="I11" t="s">
        <v>34</v>
      </c>
      <c r="J11" t="s">
        <v>17</v>
      </c>
    </row>
    <row r="12" spans="1:14" x14ac:dyDescent="0.25">
      <c r="A12">
        <v>9</v>
      </c>
      <c r="B12" t="s">
        <v>35</v>
      </c>
      <c r="C12" s="12">
        <v>44272</v>
      </c>
      <c r="D12" t="s">
        <v>11</v>
      </c>
      <c r="E12">
        <v>561</v>
      </c>
      <c r="F12" t="s">
        <v>19</v>
      </c>
      <c r="I12" t="s">
        <v>36</v>
      </c>
      <c r="J12" t="s">
        <v>17</v>
      </c>
    </row>
    <row r="13" spans="1:14" x14ac:dyDescent="0.25">
      <c r="A13">
        <v>10</v>
      </c>
      <c r="B13" t="s">
        <v>37</v>
      </c>
      <c r="C13" s="12">
        <v>44272</v>
      </c>
      <c r="D13" t="s">
        <v>11</v>
      </c>
      <c r="E13">
        <v>492</v>
      </c>
      <c r="F13" t="s">
        <v>12</v>
      </c>
      <c r="I13" t="s">
        <v>38</v>
      </c>
      <c r="J13" t="s">
        <v>39</v>
      </c>
    </row>
    <row r="14" spans="1:14" x14ac:dyDescent="0.25">
      <c r="A14">
        <v>11</v>
      </c>
      <c r="B14" t="s">
        <v>40</v>
      </c>
      <c r="C14" s="12">
        <v>44272</v>
      </c>
      <c r="D14" t="s">
        <v>11</v>
      </c>
      <c r="E14">
        <v>503</v>
      </c>
      <c r="F14" t="s">
        <v>12</v>
      </c>
      <c r="I14" t="s">
        <v>41</v>
      </c>
      <c r="J14" t="s">
        <v>17</v>
      </c>
    </row>
    <row r="15" spans="1:14" x14ac:dyDescent="0.25">
      <c r="A15">
        <v>12</v>
      </c>
      <c r="B15" t="s">
        <v>42</v>
      </c>
      <c r="C15" s="12">
        <v>44272</v>
      </c>
      <c r="D15" t="s">
        <v>11</v>
      </c>
      <c r="E15">
        <v>500</v>
      </c>
      <c r="F15" t="s">
        <v>12</v>
      </c>
    </row>
    <row r="16" spans="1:14" x14ac:dyDescent="0.25">
      <c r="A16">
        <v>13</v>
      </c>
      <c r="B16" t="s">
        <v>43</v>
      </c>
      <c r="C16" s="12">
        <v>44272</v>
      </c>
      <c r="D16" t="s">
        <v>11</v>
      </c>
      <c r="E16">
        <v>492</v>
      </c>
      <c r="F16" t="s">
        <v>19</v>
      </c>
    </row>
    <row r="17" spans="1:10" x14ac:dyDescent="0.25">
      <c r="A17">
        <v>14</v>
      </c>
      <c r="B17" t="s">
        <v>44</v>
      </c>
      <c r="C17" s="12">
        <v>44272</v>
      </c>
      <c r="D17" t="s">
        <v>11</v>
      </c>
      <c r="E17">
        <v>527</v>
      </c>
      <c r="F17" t="s">
        <v>12</v>
      </c>
    </row>
    <row r="18" spans="1:10" x14ac:dyDescent="0.25">
      <c r="A18">
        <v>15</v>
      </c>
      <c r="B18" t="s">
        <v>45</v>
      </c>
      <c r="C18" s="12">
        <v>44272</v>
      </c>
      <c r="D18" t="s">
        <v>11</v>
      </c>
      <c r="E18">
        <v>533</v>
      </c>
      <c r="F18" t="s">
        <v>12</v>
      </c>
    </row>
    <row r="19" spans="1:10" x14ac:dyDescent="0.25">
      <c r="A19">
        <v>16</v>
      </c>
      <c r="B19" t="s">
        <v>46</v>
      </c>
      <c r="C19" s="12">
        <v>44272</v>
      </c>
      <c r="D19" t="s">
        <v>11</v>
      </c>
      <c r="E19">
        <v>451</v>
      </c>
      <c r="F19" t="s">
        <v>12</v>
      </c>
    </row>
    <row r="20" spans="1:10" x14ac:dyDescent="0.25">
      <c r="A20" t="s">
        <v>47</v>
      </c>
      <c r="B20" t="s">
        <v>48</v>
      </c>
    </row>
    <row r="23" spans="1:10" x14ac:dyDescent="0.25">
      <c r="A23" s="2" t="s">
        <v>0</v>
      </c>
      <c r="B23" s="2" t="s">
        <v>49</v>
      </c>
      <c r="E23" s="7"/>
      <c r="F23" s="7"/>
      <c r="G23" s="7"/>
      <c r="H23" s="7"/>
      <c r="I23" s="7"/>
      <c r="J23" s="7"/>
    </row>
    <row r="24" spans="1:10" ht="15.75" x14ac:dyDescent="0.25">
      <c r="A24" s="1" t="s">
        <v>2</v>
      </c>
      <c r="B24" s="1" t="s">
        <v>3</v>
      </c>
      <c r="C24" s="1" t="s">
        <v>4</v>
      </c>
      <c r="D24" s="1" t="s">
        <v>5</v>
      </c>
      <c r="E24" s="1" t="s">
        <v>6</v>
      </c>
      <c r="F24" s="1" t="s">
        <v>7</v>
      </c>
      <c r="G24" s="1" t="s">
        <v>8</v>
      </c>
      <c r="H24" s="7"/>
      <c r="I24" t="s">
        <v>9</v>
      </c>
    </row>
    <row r="25" spans="1:10" x14ac:dyDescent="0.25">
      <c r="A25">
        <v>1</v>
      </c>
      <c r="B25" t="s">
        <v>50</v>
      </c>
      <c r="C25" s="12">
        <v>44305</v>
      </c>
      <c r="D25" t="s">
        <v>11</v>
      </c>
      <c r="E25">
        <v>298</v>
      </c>
      <c r="F25" t="s">
        <v>12</v>
      </c>
      <c r="I25" t="s">
        <v>51</v>
      </c>
      <c r="J25" t="s">
        <v>52</v>
      </c>
    </row>
    <row r="26" spans="1:10" x14ac:dyDescent="0.25">
      <c r="A26">
        <v>2</v>
      </c>
      <c r="B26" t="s">
        <v>53</v>
      </c>
      <c r="C26" s="12">
        <v>44305</v>
      </c>
      <c r="D26" t="s">
        <v>11</v>
      </c>
      <c r="E26">
        <v>324</v>
      </c>
      <c r="F26" t="s">
        <v>12</v>
      </c>
      <c r="I26" t="s">
        <v>54</v>
      </c>
      <c r="J26" t="s">
        <v>17</v>
      </c>
    </row>
    <row r="27" spans="1:10" x14ac:dyDescent="0.25">
      <c r="A27">
        <v>3</v>
      </c>
      <c r="B27" t="s">
        <v>55</v>
      </c>
      <c r="C27" s="12">
        <v>44305</v>
      </c>
      <c r="D27" t="s">
        <v>11</v>
      </c>
      <c r="E27">
        <v>273</v>
      </c>
      <c r="F27" t="s">
        <v>12</v>
      </c>
      <c r="I27" t="s">
        <v>56</v>
      </c>
      <c r="J27" t="s">
        <v>17</v>
      </c>
    </row>
    <row r="28" spans="1:10" x14ac:dyDescent="0.25">
      <c r="A28">
        <v>4</v>
      </c>
      <c r="B28" t="s">
        <v>57</v>
      </c>
      <c r="C28" s="12">
        <v>44305</v>
      </c>
      <c r="D28" t="s">
        <v>11</v>
      </c>
      <c r="E28">
        <v>293</v>
      </c>
      <c r="F28" t="s">
        <v>12</v>
      </c>
      <c r="I28" t="s">
        <v>58</v>
      </c>
      <c r="J28" t="s">
        <v>17</v>
      </c>
    </row>
    <row r="29" spans="1:10" x14ac:dyDescent="0.25">
      <c r="A29">
        <v>5</v>
      </c>
      <c r="B29" t="s">
        <v>59</v>
      </c>
      <c r="C29" s="12">
        <v>44305</v>
      </c>
      <c r="D29" t="s">
        <v>11</v>
      </c>
      <c r="E29">
        <v>266</v>
      </c>
      <c r="F29" t="s">
        <v>12</v>
      </c>
      <c r="I29" t="s">
        <v>60</v>
      </c>
      <c r="J29" t="s">
        <v>61</v>
      </c>
    </row>
    <row r="30" spans="1:10" x14ac:dyDescent="0.25">
      <c r="A30">
        <v>6</v>
      </c>
      <c r="B30" t="s">
        <v>62</v>
      </c>
      <c r="C30" s="12">
        <v>44305</v>
      </c>
      <c r="D30" t="s">
        <v>11</v>
      </c>
      <c r="E30">
        <v>244</v>
      </c>
      <c r="F30" t="s">
        <v>12</v>
      </c>
      <c r="I30" t="s">
        <v>63</v>
      </c>
      <c r="J30" t="s">
        <v>64</v>
      </c>
    </row>
    <row r="31" spans="1:10" x14ac:dyDescent="0.25">
      <c r="A31">
        <v>7</v>
      </c>
      <c r="B31" t="s">
        <v>65</v>
      </c>
      <c r="C31" s="12">
        <v>44305</v>
      </c>
      <c r="D31" t="s">
        <v>11</v>
      </c>
      <c r="E31">
        <v>246</v>
      </c>
      <c r="F31" t="s">
        <v>12</v>
      </c>
      <c r="I31" t="s">
        <v>66</v>
      </c>
      <c r="J31" t="s">
        <v>67</v>
      </c>
    </row>
    <row r="32" spans="1:10" x14ac:dyDescent="0.25">
      <c r="A32">
        <v>8</v>
      </c>
      <c r="B32" t="s">
        <v>68</v>
      </c>
      <c r="C32" s="12">
        <v>44305</v>
      </c>
      <c r="D32" t="s">
        <v>11</v>
      </c>
      <c r="E32">
        <v>255</v>
      </c>
      <c r="F32" t="s">
        <v>19</v>
      </c>
      <c r="I32" t="s">
        <v>69</v>
      </c>
      <c r="J32" t="s">
        <v>17</v>
      </c>
    </row>
    <row r="33" spans="1:10" x14ac:dyDescent="0.25">
      <c r="A33">
        <v>9</v>
      </c>
      <c r="B33" t="s">
        <v>70</v>
      </c>
      <c r="C33" s="12">
        <v>44305</v>
      </c>
      <c r="D33" t="s">
        <v>11</v>
      </c>
      <c r="E33">
        <v>250</v>
      </c>
      <c r="F33" t="s">
        <v>19</v>
      </c>
      <c r="I33" t="s">
        <v>71</v>
      </c>
      <c r="J33" t="s">
        <v>72</v>
      </c>
    </row>
    <row r="34" spans="1:10" x14ac:dyDescent="0.25">
      <c r="A34">
        <v>10</v>
      </c>
      <c r="B34" t="s">
        <v>73</v>
      </c>
      <c r="C34" s="12">
        <v>44305</v>
      </c>
      <c r="D34" t="s">
        <v>11</v>
      </c>
      <c r="E34">
        <v>219</v>
      </c>
      <c r="F34" t="s">
        <v>19</v>
      </c>
      <c r="I34" t="s">
        <v>74</v>
      </c>
      <c r="J34" t="s">
        <v>17</v>
      </c>
    </row>
    <row r="35" spans="1:10" x14ac:dyDescent="0.25">
      <c r="A35">
        <v>11</v>
      </c>
      <c r="B35" t="s">
        <v>75</v>
      </c>
      <c r="C35" s="12">
        <v>44305</v>
      </c>
      <c r="D35" t="s">
        <v>11</v>
      </c>
      <c r="E35">
        <v>225</v>
      </c>
      <c r="F35" t="s">
        <v>19</v>
      </c>
      <c r="I35" t="s">
        <v>76</v>
      </c>
      <c r="J35" t="s">
        <v>77</v>
      </c>
    </row>
    <row r="36" spans="1:10" x14ac:dyDescent="0.25">
      <c r="A36">
        <v>12</v>
      </c>
      <c r="B36" t="s">
        <v>78</v>
      </c>
      <c r="C36" s="12">
        <v>44307</v>
      </c>
      <c r="D36" t="s">
        <v>11</v>
      </c>
      <c r="E36">
        <v>225</v>
      </c>
      <c r="F36" t="s">
        <v>12</v>
      </c>
    </row>
    <row r="37" spans="1:10" x14ac:dyDescent="0.25">
      <c r="A37">
        <v>13</v>
      </c>
      <c r="B37" t="s">
        <v>79</v>
      </c>
      <c r="C37" s="12">
        <v>44307</v>
      </c>
      <c r="D37" t="s">
        <v>11</v>
      </c>
      <c r="E37">
        <v>275</v>
      </c>
      <c r="F37" t="s">
        <v>12</v>
      </c>
    </row>
    <row r="38" spans="1:10" x14ac:dyDescent="0.25">
      <c r="A38">
        <v>14</v>
      </c>
      <c r="B38" t="s">
        <v>80</v>
      </c>
      <c r="C38" s="12">
        <v>44307</v>
      </c>
      <c r="D38" t="s">
        <v>11</v>
      </c>
      <c r="E38">
        <v>304</v>
      </c>
      <c r="F38" t="s">
        <v>12</v>
      </c>
    </row>
    <row r="39" spans="1:10" x14ac:dyDescent="0.25">
      <c r="A39">
        <v>15</v>
      </c>
      <c r="B39" t="s">
        <v>81</v>
      </c>
      <c r="C39" s="12">
        <v>44307</v>
      </c>
      <c r="D39" t="s">
        <v>11</v>
      </c>
      <c r="E39">
        <v>275</v>
      </c>
      <c r="F39" t="s">
        <v>12</v>
      </c>
    </row>
    <row r="40" spans="1:10" x14ac:dyDescent="0.25">
      <c r="A40">
        <v>16</v>
      </c>
      <c r="B40" t="s">
        <v>82</v>
      </c>
      <c r="C40" s="12">
        <v>44307</v>
      </c>
      <c r="D40" t="s">
        <v>11</v>
      </c>
      <c r="E40">
        <v>228</v>
      </c>
      <c r="F40" t="s">
        <v>12</v>
      </c>
    </row>
    <row r="41" spans="1:10" x14ac:dyDescent="0.25">
      <c r="A41" t="s">
        <v>83</v>
      </c>
      <c r="B41" t="s">
        <v>84</v>
      </c>
      <c r="C41" s="12">
        <v>44307</v>
      </c>
      <c r="D41" t="s">
        <v>11</v>
      </c>
      <c r="E41">
        <v>240</v>
      </c>
    </row>
    <row r="44" spans="1:10" x14ac:dyDescent="0.25">
      <c r="A44" s="2" t="s">
        <v>0</v>
      </c>
      <c r="B44" s="2" t="s">
        <v>85</v>
      </c>
      <c r="E44" s="7"/>
      <c r="F44" s="7"/>
      <c r="G44" s="7"/>
      <c r="H44" s="7"/>
      <c r="I44" s="7"/>
      <c r="J44" s="7"/>
    </row>
    <row r="45" spans="1:10" ht="15.75" x14ac:dyDescent="0.25">
      <c r="A45" s="1" t="s">
        <v>2</v>
      </c>
      <c r="B45" s="1" t="s">
        <v>3</v>
      </c>
      <c r="C45" s="1" t="s">
        <v>4</v>
      </c>
      <c r="D45" s="1" t="s">
        <v>5</v>
      </c>
      <c r="E45" s="1" t="s">
        <v>6</v>
      </c>
      <c r="F45" s="1" t="s">
        <v>7</v>
      </c>
      <c r="G45" s="1" t="s">
        <v>8</v>
      </c>
      <c r="H45" s="7"/>
      <c r="I45" t="s">
        <v>9</v>
      </c>
    </row>
    <row r="46" spans="1:10" x14ac:dyDescent="0.25">
      <c r="A46">
        <v>1</v>
      </c>
      <c r="B46" t="s">
        <v>86</v>
      </c>
      <c r="C46" s="12">
        <v>44383</v>
      </c>
      <c r="D46" t="s">
        <v>87</v>
      </c>
      <c r="E46">
        <v>562</v>
      </c>
      <c r="F46" t="s">
        <v>19</v>
      </c>
      <c r="I46" t="s">
        <v>88</v>
      </c>
      <c r="J46" t="s">
        <v>17</v>
      </c>
    </row>
    <row r="47" spans="1:10" x14ac:dyDescent="0.25">
      <c r="A47">
        <v>2</v>
      </c>
      <c r="B47" t="s">
        <v>89</v>
      </c>
      <c r="C47" s="12">
        <v>44383</v>
      </c>
      <c r="D47" t="s">
        <v>87</v>
      </c>
      <c r="E47">
        <v>603</v>
      </c>
      <c r="F47" t="s">
        <v>19</v>
      </c>
      <c r="I47" t="s">
        <v>90</v>
      </c>
      <c r="J47" t="s">
        <v>91</v>
      </c>
    </row>
    <row r="48" spans="1:10" x14ac:dyDescent="0.25">
      <c r="A48">
        <v>3</v>
      </c>
      <c r="B48" t="s">
        <v>92</v>
      </c>
      <c r="C48" s="12">
        <v>44383</v>
      </c>
      <c r="D48" t="s">
        <v>87</v>
      </c>
      <c r="E48">
        <v>605</v>
      </c>
      <c r="F48" t="s">
        <v>19</v>
      </c>
      <c r="I48" t="s">
        <v>93</v>
      </c>
      <c r="J48" t="s">
        <v>94</v>
      </c>
    </row>
    <row r="49" spans="1:10" x14ac:dyDescent="0.25">
      <c r="A49">
        <v>4</v>
      </c>
      <c r="B49" t="s">
        <v>95</v>
      </c>
      <c r="C49" s="12">
        <v>44383</v>
      </c>
      <c r="D49" t="s">
        <v>87</v>
      </c>
      <c r="E49">
        <v>333</v>
      </c>
      <c r="F49" t="s">
        <v>96</v>
      </c>
      <c r="I49" t="s">
        <v>97</v>
      </c>
      <c r="J49" t="s">
        <v>98</v>
      </c>
    </row>
    <row r="50" spans="1:10" x14ac:dyDescent="0.25">
      <c r="A50">
        <v>5</v>
      </c>
      <c r="B50" t="s">
        <v>99</v>
      </c>
      <c r="C50" s="12">
        <v>44383</v>
      </c>
      <c r="D50" t="s">
        <v>87</v>
      </c>
      <c r="E50">
        <v>318</v>
      </c>
      <c r="F50" t="s">
        <v>96</v>
      </c>
      <c r="I50" t="s">
        <v>100</v>
      </c>
      <c r="J50" t="s">
        <v>101</v>
      </c>
    </row>
    <row r="51" spans="1:10" x14ac:dyDescent="0.25">
      <c r="A51">
        <v>6</v>
      </c>
      <c r="B51" t="s">
        <v>102</v>
      </c>
      <c r="C51" s="12">
        <v>44383</v>
      </c>
      <c r="D51" t="s">
        <v>87</v>
      </c>
      <c r="E51">
        <v>327</v>
      </c>
      <c r="F51" t="s">
        <v>96</v>
      </c>
      <c r="I51" t="s">
        <v>103</v>
      </c>
      <c r="J51" t="s">
        <v>17</v>
      </c>
    </row>
    <row r="52" spans="1:10" x14ac:dyDescent="0.25">
      <c r="A52">
        <v>7</v>
      </c>
      <c r="B52" t="s">
        <v>104</v>
      </c>
      <c r="C52" s="12">
        <v>44383</v>
      </c>
      <c r="D52" t="s">
        <v>87</v>
      </c>
      <c r="E52">
        <v>350</v>
      </c>
      <c r="F52" t="s">
        <v>96</v>
      </c>
      <c r="I52" t="s">
        <v>105</v>
      </c>
      <c r="J52" t="s">
        <v>106</v>
      </c>
    </row>
    <row r="53" spans="1:10" x14ac:dyDescent="0.25">
      <c r="A53">
        <v>8</v>
      </c>
      <c r="B53" t="s">
        <v>107</v>
      </c>
      <c r="C53" s="12">
        <v>44383</v>
      </c>
      <c r="D53" t="s">
        <v>87</v>
      </c>
      <c r="E53">
        <v>376</v>
      </c>
      <c r="F53" t="s">
        <v>19</v>
      </c>
      <c r="I53" t="s">
        <v>108</v>
      </c>
      <c r="J53" t="s">
        <v>109</v>
      </c>
    </row>
    <row r="54" spans="1:10" x14ac:dyDescent="0.25">
      <c r="A54">
        <v>9</v>
      </c>
      <c r="B54" t="s">
        <v>110</v>
      </c>
      <c r="C54" s="12">
        <v>44383</v>
      </c>
      <c r="D54" t="s">
        <v>87</v>
      </c>
      <c r="E54">
        <v>368</v>
      </c>
      <c r="F54" t="s">
        <v>19</v>
      </c>
      <c r="I54" t="s">
        <v>111</v>
      </c>
      <c r="J54" t="s">
        <v>112</v>
      </c>
    </row>
    <row r="55" spans="1:10" x14ac:dyDescent="0.25">
      <c r="A55">
        <v>10</v>
      </c>
      <c r="B55" t="s">
        <v>113</v>
      </c>
      <c r="C55" s="12">
        <v>44383</v>
      </c>
      <c r="D55" t="s">
        <v>87</v>
      </c>
      <c r="E55">
        <v>340</v>
      </c>
      <c r="F55" t="s">
        <v>12</v>
      </c>
    </row>
    <row r="56" spans="1:10" x14ac:dyDescent="0.25">
      <c r="A56">
        <v>11</v>
      </c>
      <c r="B56" t="s">
        <v>114</v>
      </c>
      <c r="C56" s="12">
        <v>44383</v>
      </c>
      <c r="D56" t="s">
        <v>87</v>
      </c>
      <c r="E56">
        <v>314</v>
      </c>
      <c r="F56" t="s">
        <v>96</v>
      </c>
    </row>
    <row r="57" spans="1:10" x14ac:dyDescent="0.25">
      <c r="A57">
        <v>12</v>
      </c>
      <c r="B57" t="s">
        <v>115</v>
      </c>
      <c r="C57" s="12">
        <v>44383</v>
      </c>
      <c r="D57" t="s">
        <v>87</v>
      </c>
      <c r="E57">
        <v>324</v>
      </c>
      <c r="F57" t="s">
        <v>96</v>
      </c>
    </row>
    <row r="58" spans="1:10" x14ac:dyDescent="0.25">
      <c r="A58">
        <v>13</v>
      </c>
      <c r="B58" t="s">
        <v>116</v>
      </c>
      <c r="C58" s="12">
        <v>44383</v>
      </c>
      <c r="D58" t="s">
        <v>87</v>
      </c>
      <c r="E58">
        <v>325</v>
      </c>
      <c r="F58" t="s">
        <v>96</v>
      </c>
    </row>
    <row r="59" spans="1:10" x14ac:dyDescent="0.25">
      <c r="A59">
        <v>14</v>
      </c>
      <c r="B59" t="s">
        <v>117</v>
      </c>
      <c r="C59" s="12">
        <v>44383</v>
      </c>
      <c r="D59" t="s">
        <v>87</v>
      </c>
      <c r="E59">
        <v>310</v>
      </c>
      <c r="F59" t="s">
        <v>96</v>
      </c>
    </row>
    <row r="60" spans="1:10" x14ac:dyDescent="0.25">
      <c r="A60">
        <v>15</v>
      </c>
      <c r="B60" t="s">
        <v>118</v>
      </c>
      <c r="C60" s="12">
        <v>44383</v>
      </c>
      <c r="D60" t="s">
        <v>87</v>
      </c>
      <c r="E60">
        <v>285</v>
      </c>
      <c r="F60" t="s">
        <v>96</v>
      </c>
    </row>
    <row r="61" spans="1:10" x14ac:dyDescent="0.25">
      <c r="A61">
        <v>16</v>
      </c>
      <c r="B61" t="s">
        <v>119</v>
      </c>
      <c r="C61" s="12">
        <v>44383</v>
      </c>
      <c r="D61" t="s">
        <v>87</v>
      </c>
      <c r="E61">
        <v>302</v>
      </c>
      <c r="F61" t="s">
        <v>96</v>
      </c>
    </row>
    <row r="65" spans="1:10" x14ac:dyDescent="0.25">
      <c r="A65" s="2" t="s">
        <v>0</v>
      </c>
      <c r="B65" s="2" t="s">
        <v>120</v>
      </c>
      <c r="E65" s="7"/>
      <c r="F65" s="7"/>
      <c r="G65" s="7"/>
      <c r="H65" s="7"/>
      <c r="I65" s="7"/>
      <c r="J65" s="7"/>
    </row>
    <row r="66" spans="1:10" ht="15.75" x14ac:dyDescent="0.25">
      <c r="A66" s="1" t="s">
        <v>2</v>
      </c>
      <c r="B66" s="1" t="s">
        <v>3</v>
      </c>
      <c r="C66" s="1" t="s">
        <v>4</v>
      </c>
      <c r="D66" s="1" t="s">
        <v>5</v>
      </c>
      <c r="E66" s="1" t="s">
        <v>6</v>
      </c>
      <c r="F66" s="1" t="s">
        <v>7</v>
      </c>
      <c r="G66" s="1" t="s">
        <v>8</v>
      </c>
      <c r="H66" s="7"/>
      <c r="I66" t="s">
        <v>9</v>
      </c>
    </row>
    <row r="67" spans="1:10" ht="23.25" x14ac:dyDescent="0.25">
      <c r="A67">
        <v>1</v>
      </c>
      <c r="B67" s="70" t="s">
        <v>121</v>
      </c>
      <c r="C67" s="12">
        <v>44399</v>
      </c>
      <c r="D67" t="s">
        <v>87</v>
      </c>
      <c r="E67">
        <v>256</v>
      </c>
      <c r="F67" t="s">
        <v>96</v>
      </c>
      <c r="I67" t="s">
        <v>122</v>
      </c>
      <c r="J67" t="s">
        <v>123</v>
      </c>
    </row>
    <row r="68" spans="1:10" x14ac:dyDescent="0.25">
      <c r="A68">
        <v>2</v>
      </c>
      <c r="B68" t="s">
        <v>124</v>
      </c>
      <c r="C68" s="12">
        <v>44399</v>
      </c>
      <c r="D68" t="s">
        <v>125</v>
      </c>
      <c r="E68">
        <v>251</v>
      </c>
      <c r="F68" t="s">
        <v>96</v>
      </c>
      <c r="I68" t="s">
        <v>126</v>
      </c>
      <c r="J68" t="s">
        <v>127</v>
      </c>
    </row>
    <row r="69" spans="1:10" x14ac:dyDescent="0.25">
      <c r="A69">
        <v>3</v>
      </c>
      <c r="B69" t="s">
        <v>128</v>
      </c>
      <c r="C69" s="12">
        <v>44399</v>
      </c>
      <c r="D69" t="s">
        <v>87</v>
      </c>
      <c r="E69">
        <v>245</v>
      </c>
      <c r="F69" t="s">
        <v>96</v>
      </c>
      <c r="I69" t="s">
        <v>129</v>
      </c>
      <c r="J69" t="s">
        <v>130</v>
      </c>
    </row>
    <row r="70" spans="1:10" x14ac:dyDescent="0.25">
      <c r="A70">
        <v>4</v>
      </c>
      <c r="B70" t="s">
        <v>131</v>
      </c>
      <c r="C70" s="12">
        <v>44399</v>
      </c>
      <c r="D70" t="s">
        <v>87</v>
      </c>
      <c r="E70">
        <v>235</v>
      </c>
      <c r="F70" t="s">
        <v>96</v>
      </c>
      <c r="I70" t="s">
        <v>132</v>
      </c>
      <c r="J70" t="s">
        <v>17</v>
      </c>
    </row>
    <row r="71" spans="1:10" x14ac:dyDescent="0.25">
      <c r="A71">
        <v>5</v>
      </c>
      <c r="B71" t="s">
        <v>133</v>
      </c>
      <c r="C71" s="12">
        <v>44399</v>
      </c>
      <c r="D71" t="s">
        <v>87</v>
      </c>
      <c r="E71">
        <v>250</v>
      </c>
      <c r="F71" t="s">
        <v>19</v>
      </c>
      <c r="I71" t="s">
        <v>134</v>
      </c>
      <c r="J71" t="s">
        <v>135</v>
      </c>
    </row>
    <row r="72" spans="1:10" x14ac:dyDescent="0.25">
      <c r="A72">
        <v>6</v>
      </c>
      <c r="B72" t="s">
        <v>136</v>
      </c>
      <c r="C72" s="12">
        <v>44399</v>
      </c>
      <c r="D72" t="s">
        <v>87</v>
      </c>
      <c r="E72">
        <v>263</v>
      </c>
      <c r="F72" t="s">
        <v>19</v>
      </c>
      <c r="I72" t="s">
        <v>137</v>
      </c>
      <c r="J72" t="s">
        <v>138</v>
      </c>
    </row>
    <row r="73" spans="1:10" x14ac:dyDescent="0.25">
      <c r="A73">
        <v>7</v>
      </c>
      <c r="B73" t="s">
        <v>139</v>
      </c>
      <c r="C73" s="12">
        <v>44399</v>
      </c>
      <c r="D73" t="s">
        <v>125</v>
      </c>
      <c r="E73">
        <v>285</v>
      </c>
      <c r="F73" t="s">
        <v>96</v>
      </c>
      <c r="I73" t="s">
        <v>140</v>
      </c>
      <c r="J73" t="s">
        <v>141</v>
      </c>
    </row>
    <row r="74" spans="1:10" x14ac:dyDescent="0.25">
      <c r="A74">
        <v>8</v>
      </c>
      <c r="B74" t="s">
        <v>142</v>
      </c>
      <c r="C74" s="12">
        <v>44399</v>
      </c>
      <c r="D74" t="s">
        <v>87</v>
      </c>
      <c r="E74">
        <v>256</v>
      </c>
      <c r="F74" t="s">
        <v>19</v>
      </c>
      <c r="I74" t="s">
        <v>143</v>
      </c>
      <c r="J74" t="s">
        <v>17</v>
      </c>
    </row>
    <row r="75" spans="1:10" x14ac:dyDescent="0.25">
      <c r="A75">
        <v>9</v>
      </c>
      <c r="B75" t="s">
        <v>144</v>
      </c>
      <c r="C75" s="12">
        <v>44399</v>
      </c>
      <c r="D75" t="s">
        <v>87</v>
      </c>
      <c r="E75">
        <v>221</v>
      </c>
      <c r="F75" t="s">
        <v>19</v>
      </c>
      <c r="I75" t="s">
        <v>145</v>
      </c>
      <c r="J75" t="s">
        <v>146</v>
      </c>
    </row>
    <row r="76" spans="1:10" x14ac:dyDescent="0.25">
      <c r="A76">
        <v>10</v>
      </c>
      <c r="B76" t="s">
        <v>147</v>
      </c>
      <c r="C76" s="12">
        <v>44399</v>
      </c>
      <c r="D76" t="s">
        <v>125</v>
      </c>
      <c r="E76">
        <v>268</v>
      </c>
      <c r="F76" t="s">
        <v>96</v>
      </c>
    </row>
    <row r="77" spans="1:10" ht="23.25" x14ac:dyDescent="0.25">
      <c r="A77">
        <v>11</v>
      </c>
      <c r="B77" s="70" t="s">
        <v>148</v>
      </c>
      <c r="C77" s="12">
        <v>44399</v>
      </c>
      <c r="D77" t="s">
        <v>87</v>
      </c>
      <c r="E77">
        <v>258</v>
      </c>
      <c r="F77" t="s">
        <v>96</v>
      </c>
    </row>
    <row r="78" spans="1:10" x14ac:dyDescent="0.25">
      <c r="A78">
        <v>12</v>
      </c>
      <c r="B78" t="s">
        <v>149</v>
      </c>
      <c r="C78" s="12">
        <v>44399</v>
      </c>
      <c r="D78" t="s">
        <v>125</v>
      </c>
      <c r="E78">
        <v>265</v>
      </c>
      <c r="F78" t="s">
        <v>96</v>
      </c>
    </row>
    <row r="79" spans="1:10" x14ac:dyDescent="0.25">
      <c r="A79">
        <v>13</v>
      </c>
      <c r="B79" t="s">
        <v>150</v>
      </c>
      <c r="C79" s="12">
        <v>44399</v>
      </c>
      <c r="D79" t="s">
        <v>87</v>
      </c>
      <c r="E79">
        <v>226</v>
      </c>
      <c r="F79" t="s">
        <v>96</v>
      </c>
    </row>
    <row r="80" spans="1:10" x14ac:dyDescent="0.25">
      <c r="A80">
        <v>14</v>
      </c>
      <c r="B80" t="s">
        <v>151</v>
      </c>
      <c r="C80" s="12">
        <v>44399</v>
      </c>
      <c r="D80" t="s">
        <v>87</v>
      </c>
      <c r="E80">
        <v>225</v>
      </c>
      <c r="F80" t="s">
        <v>19</v>
      </c>
    </row>
    <row r="81" spans="1:10" x14ac:dyDescent="0.25">
      <c r="A81">
        <v>15</v>
      </c>
      <c r="B81" t="s">
        <v>152</v>
      </c>
      <c r="C81" s="12">
        <v>44399</v>
      </c>
      <c r="D81" t="s">
        <v>125</v>
      </c>
      <c r="E81">
        <v>257</v>
      </c>
      <c r="F81" t="s">
        <v>96</v>
      </c>
    </row>
    <row r="82" spans="1:10" x14ac:dyDescent="0.25">
      <c r="A82">
        <v>16</v>
      </c>
      <c r="B82" t="s">
        <v>153</v>
      </c>
      <c r="C82" s="12">
        <v>44399</v>
      </c>
      <c r="D82" t="s">
        <v>87</v>
      </c>
      <c r="E82">
        <v>285</v>
      </c>
      <c r="F82" t="s">
        <v>96</v>
      </c>
    </row>
    <row r="83" spans="1:10" x14ac:dyDescent="0.25">
      <c r="A83" t="s">
        <v>83</v>
      </c>
      <c r="B83" t="s">
        <v>154</v>
      </c>
      <c r="E83">
        <v>253</v>
      </c>
    </row>
    <row r="84" spans="1:10" x14ac:dyDescent="0.25">
      <c r="A84" t="s">
        <v>155</v>
      </c>
      <c r="B84" t="s">
        <v>156</v>
      </c>
      <c r="E84">
        <v>242</v>
      </c>
    </row>
    <row r="88" spans="1:10" x14ac:dyDescent="0.25">
      <c r="A88" s="2" t="s">
        <v>0</v>
      </c>
      <c r="B88" s="2" t="s">
        <v>157</v>
      </c>
      <c r="E88" s="7"/>
      <c r="F88" s="7"/>
      <c r="G88" s="7"/>
      <c r="H88" s="7"/>
      <c r="I88" s="7"/>
    </row>
    <row r="89" spans="1:10" ht="15.75" x14ac:dyDescent="0.25">
      <c r="A89" s="1" t="s">
        <v>2</v>
      </c>
      <c r="B89" s="1" t="s">
        <v>3</v>
      </c>
      <c r="C89" s="1" t="s">
        <v>4</v>
      </c>
      <c r="D89" s="1" t="s">
        <v>5</v>
      </c>
      <c r="E89" s="1" t="s">
        <v>6</v>
      </c>
      <c r="F89" s="1" t="s">
        <v>7</v>
      </c>
      <c r="G89" s="1" t="s">
        <v>8</v>
      </c>
      <c r="H89" s="7"/>
      <c r="I89" t="s">
        <v>9</v>
      </c>
    </row>
    <row r="90" spans="1:10" x14ac:dyDescent="0.25">
      <c r="A90">
        <v>1</v>
      </c>
      <c r="B90" t="s">
        <v>158</v>
      </c>
      <c r="C90" s="12">
        <v>44432</v>
      </c>
      <c r="D90" t="s">
        <v>125</v>
      </c>
      <c r="F90" t="s">
        <v>19</v>
      </c>
      <c r="I90" t="s">
        <v>159</v>
      </c>
      <c r="J90" t="s">
        <v>160</v>
      </c>
    </row>
    <row r="91" spans="1:10" x14ac:dyDescent="0.25">
      <c r="A91">
        <v>2</v>
      </c>
      <c r="B91" t="s">
        <v>161</v>
      </c>
      <c r="C91" s="12">
        <v>44432</v>
      </c>
      <c r="D91" t="s">
        <v>87</v>
      </c>
      <c r="F91" t="s">
        <v>19</v>
      </c>
      <c r="I91" t="s">
        <v>162</v>
      </c>
      <c r="J91" t="s">
        <v>163</v>
      </c>
    </row>
    <row r="92" spans="1:10" x14ac:dyDescent="0.25">
      <c r="A92">
        <v>3</v>
      </c>
      <c r="B92" t="s">
        <v>164</v>
      </c>
      <c r="C92" s="12">
        <v>44432</v>
      </c>
      <c r="D92" t="s">
        <v>87</v>
      </c>
      <c r="F92" t="s">
        <v>96</v>
      </c>
      <c r="I92" t="s">
        <v>165</v>
      </c>
      <c r="J92" t="s">
        <v>166</v>
      </c>
    </row>
    <row r="93" spans="1:10" x14ac:dyDescent="0.25">
      <c r="A93">
        <v>4</v>
      </c>
      <c r="B93" t="s">
        <v>167</v>
      </c>
      <c r="C93" s="12">
        <v>44432</v>
      </c>
      <c r="D93" t="s">
        <v>87</v>
      </c>
      <c r="F93" t="s">
        <v>96</v>
      </c>
      <c r="I93" t="s">
        <v>168</v>
      </c>
      <c r="J93" t="s">
        <v>169</v>
      </c>
    </row>
    <row r="94" spans="1:10" x14ac:dyDescent="0.25">
      <c r="A94">
        <v>5</v>
      </c>
      <c r="B94" t="s">
        <v>170</v>
      </c>
      <c r="C94" s="12">
        <v>44432</v>
      </c>
      <c r="D94" t="s">
        <v>87</v>
      </c>
      <c r="F94" t="s">
        <v>96</v>
      </c>
      <c r="I94" t="s">
        <v>171</v>
      </c>
      <c r="J94" t="s">
        <v>172</v>
      </c>
    </row>
    <row r="95" spans="1:10" x14ac:dyDescent="0.25">
      <c r="A95">
        <v>6</v>
      </c>
      <c r="B95" t="s">
        <v>173</v>
      </c>
      <c r="C95" s="12">
        <v>44432</v>
      </c>
      <c r="D95" t="s">
        <v>87</v>
      </c>
      <c r="F95" t="s">
        <v>19</v>
      </c>
      <c r="I95" t="s">
        <v>174</v>
      </c>
      <c r="J95" t="s">
        <v>175</v>
      </c>
    </row>
    <row r="96" spans="1:10" x14ac:dyDescent="0.25">
      <c r="A96">
        <v>7</v>
      </c>
      <c r="B96" t="s">
        <v>176</v>
      </c>
      <c r="C96" s="12">
        <v>44432</v>
      </c>
      <c r="D96" t="s">
        <v>87</v>
      </c>
      <c r="F96" t="s">
        <v>96</v>
      </c>
      <c r="I96" t="s">
        <v>177</v>
      </c>
      <c r="J96" t="s">
        <v>178</v>
      </c>
    </row>
    <row r="97" spans="1:10" ht="24.75" x14ac:dyDescent="0.25">
      <c r="A97">
        <v>8</v>
      </c>
      <c r="B97" s="94" t="s">
        <v>179</v>
      </c>
      <c r="C97" s="12">
        <v>44432</v>
      </c>
      <c r="D97" t="s">
        <v>87</v>
      </c>
      <c r="F97" t="s">
        <v>96</v>
      </c>
      <c r="I97" t="s">
        <v>180</v>
      </c>
      <c r="J97" t="s">
        <v>181</v>
      </c>
    </row>
    <row r="98" spans="1:10" x14ac:dyDescent="0.25">
      <c r="A98">
        <v>9</v>
      </c>
      <c r="B98" t="s">
        <v>182</v>
      </c>
      <c r="C98" s="12">
        <v>44432</v>
      </c>
      <c r="D98" t="s">
        <v>87</v>
      </c>
      <c r="F98" t="s">
        <v>19</v>
      </c>
      <c r="I98" t="s">
        <v>183</v>
      </c>
      <c r="J98" t="s">
        <v>184</v>
      </c>
    </row>
    <row r="99" spans="1:10" x14ac:dyDescent="0.25">
      <c r="A99">
        <v>10</v>
      </c>
      <c r="B99" t="s">
        <v>185</v>
      </c>
      <c r="C99" s="12">
        <v>44432</v>
      </c>
      <c r="D99" t="s">
        <v>87</v>
      </c>
      <c r="F99" t="s">
        <v>19</v>
      </c>
    </row>
    <row r="100" spans="1:10" x14ac:dyDescent="0.25">
      <c r="A100">
        <v>11</v>
      </c>
      <c r="B100" t="s">
        <v>186</v>
      </c>
      <c r="C100" s="12">
        <v>44432</v>
      </c>
      <c r="D100" t="s">
        <v>87</v>
      </c>
      <c r="F100" t="s">
        <v>96</v>
      </c>
    </row>
    <row r="101" spans="1:10" x14ac:dyDescent="0.25">
      <c r="A101">
        <v>12</v>
      </c>
      <c r="B101" t="s">
        <v>187</v>
      </c>
      <c r="C101" s="12">
        <v>44432</v>
      </c>
      <c r="D101" t="s">
        <v>125</v>
      </c>
      <c r="F101" t="s">
        <v>96</v>
      </c>
    </row>
    <row r="102" spans="1:10" x14ac:dyDescent="0.25">
      <c r="A102">
        <v>13</v>
      </c>
      <c r="B102" t="s">
        <v>188</v>
      </c>
      <c r="C102" s="12">
        <v>44432</v>
      </c>
      <c r="D102" t="s">
        <v>87</v>
      </c>
      <c r="F102" t="s">
        <v>96</v>
      </c>
    </row>
    <row r="103" spans="1:10" x14ac:dyDescent="0.25">
      <c r="A103">
        <v>14</v>
      </c>
      <c r="B103" t="s">
        <v>189</v>
      </c>
      <c r="C103" s="12">
        <v>44432</v>
      </c>
      <c r="D103" t="s">
        <v>87</v>
      </c>
      <c r="F103" t="s">
        <v>96</v>
      </c>
    </row>
    <row r="104" spans="1:10" x14ac:dyDescent="0.25">
      <c r="A104">
        <v>15</v>
      </c>
      <c r="B104" t="s">
        <v>190</v>
      </c>
      <c r="C104" s="12">
        <v>44432</v>
      </c>
      <c r="D104" t="s">
        <v>87</v>
      </c>
      <c r="F104" t="s">
        <v>19</v>
      </c>
    </row>
    <row r="105" spans="1:10" x14ac:dyDescent="0.25">
      <c r="A105">
        <v>16</v>
      </c>
      <c r="B105" t="s">
        <v>191</v>
      </c>
      <c r="C105" s="12">
        <v>44432</v>
      </c>
      <c r="D105" t="s">
        <v>87</v>
      </c>
      <c r="F105" t="s">
        <v>19</v>
      </c>
    </row>
    <row r="106" spans="1:10" ht="24.75" x14ac:dyDescent="0.25">
      <c r="A106" t="s">
        <v>83</v>
      </c>
      <c r="B106" s="94" t="s">
        <v>192</v>
      </c>
      <c r="C106" s="12">
        <v>44432</v>
      </c>
      <c r="D106" t="s">
        <v>125</v>
      </c>
    </row>
    <row r="107" spans="1:10" x14ac:dyDescent="0.25">
      <c r="A107" t="s">
        <v>83</v>
      </c>
      <c r="B107" t="s">
        <v>193</v>
      </c>
      <c r="C107" s="12">
        <v>44432</v>
      </c>
      <c r="D107" t="s">
        <v>87</v>
      </c>
    </row>
  </sheetData>
  <sortState xmlns:xlrd2="http://schemas.microsoft.com/office/spreadsheetml/2017/richdata2" ref="A67:E84">
    <sortCondition ref="A67:A84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2"/>
  <sheetViews>
    <sheetView topLeftCell="A35" workbookViewId="0">
      <selection activeCell="A59" sqref="A59"/>
    </sheetView>
  </sheetViews>
  <sheetFormatPr defaultRowHeight="15" x14ac:dyDescent="0.25"/>
  <cols>
    <col min="1" max="1" width="16.28515625" customWidth="1"/>
    <col min="3" max="3" width="14.7109375" customWidth="1"/>
    <col min="4" max="4" width="9.7109375" bestFit="1" customWidth="1"/>
    <col min="5" max="5" width="10.7109375" customWidth="1"/>
    <col min="6" max="6" width="10" customWidth="1"/>
    <col min="7" max="8" width="10.28515625" customWidth="1"/>
    <col min="9" max="10" width="10" customWidth="1"/>
    <col min="11" max="11" width="10.140625" customWidth="1"/>
    <col min="12" max="12" width="10.28515625" customWidth="1"/>
    <col min="13" max="14" width="10.42578125" customWidth="1"/>
  </cols>
  <sheetData>
    <row r="1" spans="1:5" x14ac:dyDescent="0.25">
      <c r="A1" t="s">
        <v>194</v>
      </c>
    </row>
    <row r="2" spans="1:5" x14ac:dyDescent="0.25">
      <c r="A2" t="s">
        <v>195</v>
      </c>
      <c r="E2" t="s">
        <v>196</v>
      </c>
    </row>
    <row r="3" spans="1:5" x14ac:dyDescent="0.25">
      <c r="A3" t="s">
        <v>197</v>
      </c>
    </row>
    <row r="5" spans="1:5" x14ac:dyDescent="0.25">
      <c r="A5" t="s">
        <v>9</v>
      </c>
    </row>
    <row r="6" spans="1:5" x14ac:dyDescent="0.25">
      <c r="A6" t="s">
        <v>13</v>
      </c>
      <c r="B6" t="s">
        <v>14</v>
      </c>
    </row>
    <row r="7" spans="1:5" x14ac:dyDescent="0.25">
      <c r="A7" t="s">
        <v>16</v>
      </c>
      <c r="B7" t="s">
        <v>17</v>
      </c>
    </row>
    <row r="8" spans="1:5" x14ac:dyDescent="0.25">
      <c r="A8" t="s">
        <v>20</v>
      </c>
      <c r="B8" t="s">
        <v>21</v>
      </c>
    </row>
    <row r="9" spans="1:5" x14ac:dyDescent="0.25">
      <c r="A9" t="s">
        <v>23</v>
      </c>
      <c r="B9" t="s">
        <v>24</v>
      </c>
    </row>
    <row r="10" spans="1:5" x14ac:dyDescent="0.25">
      <c r="A10" t="s">
        <v>26</v>
      </c>
      <c r="B10" t="s">
        <v>27</v>
      </c>
    </row>
    <row r="11" spans="1:5" x14ac:dyDescent="0.25">
      <c r="A11" t="s">
        <v>29</v>
      </c>
      <c r="B11" t="s">
        <v>17</v>
      </c>
    </row>
    <row r="12" spans="1:5" x14ac:dyDescent="0.25">
      <c r="A12" t="s">
        <v>31</v>
      </c>
      <c r="B12" t="s">
        <v>32</v>
      </c>
    </row>
    <row r="13" spans="1:5" x14ac:dyDescent="0.25">
      <c r="A13" t="s">
        <v>34</v>
      </c>
      <c r="B13" t="s">
        <v>17</v>
      </c>
    </row>
    <row r="14" spans="1:5" x14ac:dyDescent="0.25">
      <c r="A14" t="s">
        <v>36</v>
      </c>
      <c r="B14" t="s">
        <v>17</v>
      </c>
    </row>
    <row r="15" spans="1:5" x14ac:dyDescent="0.25">
      <c r="A15" t="s">
        <v>38</v>
      </c>
      <c r="B15" t="s">
        <v>39</v>
      </c>
    </row>
    <row r="16" spans="1:5" x14ac:dyDescent="0.25">
      <c r="A16" t="s">
        <v>41</v>
      </c>
      <c r="B16" t="s">
        <v>17</v>
      </c>
    </row>
    <row r="18" spans="1:14" x14ac:dyDescent="0.25">
      <c r="A18" s="35" t="s">
        <v>198</v>
      </c>
      <c r="B18" s="29"/>
    </row>
    <row r="19" spans="1:14" ht="75" x14ac:dyDescent="0.25">
      <c r="A19" s="33" t="s">
        <v>199</v>
      </c>
      <c r="B19" s="29"/>
    </row>
    <row r="20" spans="1:14" x14ac:dyDescent="0.25">
      <c r="A20" s="36" t="s">
        <v>200</v>
      </c>
      <c r="B20" s="29"/>
    </row>
    <row r="21" spans="1:14" x14ac:dyDescent="0.25">
      <c r="B21" s="29"/>
    </row>
    <row r="23" spans="1:14" x14ac:dyDescent="0.25">
      <c r="A23" s="7"/>
      <c r="B23" s="7"/>
      <c r="C23" s="7" t="s">
        <v>201</v>
      </c>
      <c r="D23" s="28" t="s">
        <v>202</v>
      </c>
      <c r="E23" s="28" t="s">
        <v>202</v>
      </c>
      <c r="F23" s="28" t="s">
        <v>202</v>
      </c>
      <c r="G23" s="28" t="s">
        <v>202</v>
      </c>
      <c r="H23" s="28" t="s">
        <v>202</v>
      </c>
      <c r="I23" s="28" t="s">
        <v>202</v>
      </c>
      <c r="J23" s="28" t="s">
        <v>202</v>
      </c>
      <c r="K23" s="28" t="s">
        <v>202</v>
      </c>
      <c r="L23" s="28" t="s">
        <v>202</v>
      </c>
      <c r="M23" s="28" t="s">
        <v>202</v>
      </c>
      <c r="N23" s="28" t="s">
        <v>202</v>
      </c>
    </row>
    <row r="24" spans="1:14" x14ac:dyDescent="0.25">
      <c r="A24" s="7" t="s">
        <v>203</v>
      </c>
      <c r="B24" s="7"/>
      <c r="C24" s="7"/>
      <c r="D24" s="14" t="s">
        <v>204</v>
      </c>
      <c r="E24" s="14" t="s">
        <v>205</v>
      </c>
      <c r="F24" s="14" t="s">
        <v>206</v>
      </c>
      <c r="G24" s="14" t="s">
        <v>207</v>
      </c>
      <c r="H24" s="14" t="s">
        <v>208</v>
      </c>
      <c r="I24" s="14" t="s">
        <v>209</v>
      </c>
      <c r="J24" s="14" t="s">
        <v>210</v>
      </c>
      <c r="K24" s="14" t="s">
        <v>211</v>
      </c>
      <c r="L24" s="14" t="s">
        <v>212</v>
      </c>
      <c r="M24" s="14" t="s">
        <v>213</v>
      </c>
      <c r="N24" s="14" t="s">
        <v>214</v>
      </c>
    </row>
    <row r="25" spans="1:14" x14ac:dyDescent="0.25">
      <c r="A25" s="7" t="s">
        <v>215</v>
      </c>
      <c r="B25" s="7" t="s">
        <v>216</v>
      </c>
      <c r="C25" s="7" t="s">
        <v>8</v>
      </c>
      <c r="D25" s="8">
        <v>44277</v>
      </c>
      <c r="E25" s="8">
        <v>44278</v>
      </c>
      <c r="F25" s="8">
        <v>44279</v>
      </c>
      <c r="G25" s="8">
        <v>44280</v>
      </c>
      <c r="H25" s="8">
        <v>44281</v>
      </c>
      <c r="I25" s="8">
        <v>44282</v>
      </c>
      <c r="J25" s="8">
        <v>44283</v>
      </c>
      <c r="K25" s="8">
        <v>44284</v>
      </c>
      <c r="L25" s="8">
        <v>44285</v>
      </c>
      <c r="M25" s="8">
        <v>44286</v>
      </c>
      <c r="N25" s="8">
        <v>44287</v>
      </c>
    </row>
    <row r="26" spans="1:14" x14ac:dyDescent="0.25">
      <c r="A26" s="10" t="s">
        <v>10</v>
      </c>
      <c r="B26" s="4">
        <v>1</v>
      </c>
      <c r="C26" s="10" t="s">
        <v>12</v>
      </c>
      <c r="D26" s="10">
        <v>514</v>
      </c>
      <c r="E26" s="4"/>
      <c r="F26" s="4">
        <v>524</v>
      </c>
      <c r="G26" s="5"/>
      <c r="H26" s="5"/>
      <c r="I26" s="17"/>
      <c r="J26" s="3">
        <v>521</v>
      </c>
      <c r="K26" s="4"/>
      <c r="L26" s="4"/>
      <c r="M26" s="4">
        <v>508</v>
      </c>
      <c r="N26" s="4"/>
    </row>
    <row r="27" spans="1:14" x14ac:dyDescent="0.25">
      <c r="A27" s="10" t="s">
        <v>15</v>
      </c>
      <c r="B27" s="4">
        <v>2</v>
      </c>
      <c r="C27" s="10" t="s">
        <v>12</v>
      </c>
      <c r="D27" s="10">
        <v>548</v>
      </c>
      <c r="E27" s="4"/>
      <c r="F27" s="4">
        <v>549</v>
      </c>
      <c r="G27" s="5"/>
      <c r="H27" s="5"/>
      <c r="I27" s="17"/>
      <c r="J27" s="3">
        <v>525</v>
      </c>
      <c r="K27" s="4"/>
      <c r="L27" s="4"/>
      <c r="M27" s="4">
        <v>512</v>
      </c>
      <c r="N27" s="30"/>
    </row>
    <row r="28" spans="1:14" x14ac:dyDescent="0.25">
      <c r="A28" s="10" t="s">
        <v>18</v>
      </c>
      <c r="B28" s="4">
        <v>3</v>
      </c>
      <c r="C28" s="10" t="s">
        <v>19</v>
      </c>
      <c r="D28" s="10">
        <v>576</v>
      </c>
      <c r="E28" s="4"/>
      <c r="F28" s="4">
        <v>578</v>
      </c>
      <c r="G28" s="5"/>
      <c r="H28" s="5"/>
      <c r="I28" s="17"/>
      <c r="J28" s="3">
        <v>567</v>
      </c>
      <c r="K28" s="4"/>
      <c r="L28" s="4"/>
      <c r="M28" s="4">
        <v>564</v>
      </c>
      <c r="N28" s="4"/>
    </row>
    <row r="29" spans="1:14" x14ac:dyDescent="0.25">
      <c r="A29" s="10" t="s">
        <v>22</v>
      </c>
      <c r="B29" s="4">
        <v>4</v>
      </c>
      <c r="C29" s="10" t="s">
        <v>12</v>
      </c>
      <c r="D29" s="10">
        <v>565</v>
      </c>
      <c r="E29" s="4"/>
      <c r="F29" s="4">
        <v>545</v>
      </c>
      <c r="G29" s="5"/>
      <c r="H29" s="5"/>
      <c r="I29" s="17"/>
      <c r="J29" s="3">
        <v>535</v>
      </c>
      <c r="K29" s="4"/>
      <c r="L29" s="4"/>
      <c r="M29" s="4">
        <v>482</v>
      </c>
      <c r="N29" s="4"/>
    </row>
    <row r="30" spans="1:14" x14ac:dyDescent="0.25">
      <c r="A30" s="10" t="s">
        <v>25</v>
      </c>
      <c r="B30" s="4">
        <v>5</v>
      </c>
      <c r="C30" s="10" t="s">
        <v>12</v>
      </c>
      <c r="D30" s="10">
        <v>493</v>
      </c>
      <c r="E30" s="4"/>
      <c r="F30" s="4">
        <v>583</v>
      </c>
      <c r="G30" s="5"/>
      <c r="H30" s="5"/>
      <c r="I30" s="17"/>
      <c r="J30" s="3">
        <v>472</v>
      </c>
      <c r="K30" s="4"/>
      <c r="L30" s="4"/>
      <c r="M30" s="4">
        <v>511</v>
      </c>
      <c r="N30" s="4"/>
    </row>
    <row r="31" spans="1:14" x14ac:dyDescent="0.25">
      <c r="A31" s="10" t="s">
        <v>28</v>
      </c>
      <c r="B31" s="4">
        <v>6</v>
      </c>
      <c r="C31" s="10" t="s">
        <v>12</v>
      </c>
      <c r="D31" s="10">
        <v>581</v>
      </c>
      <c r="E31" s="4"/>
      <c r="F31" s="4">
        <v>585</v>
      </c>
      <c r="G31" s="5"/>
      <c r="H31" s="5"/>
      <c r="I31" s="18"/>
      <c r="J31" s="20">
        <v>535</v>
      </c>
      <c r="K31" s="4"/>
      <c r="L31" s="4"/>
      <c r="M31" s="4">
        <v>540</v>
      </c>
      <c r="N31" s="30"/>
    </row>
    <row r="32" spans="1:14" x14ac:dyDescent="0.25">
      <c r="A32" s="10" t="s">
        <v>30</v>
      </c>
      <c r="B32" s="4">
        <v>7</v>
      </c>
      <c r="C32" s="10" t="s">
        <v>12</v>
      </c>
      <c r="D32" s="10">
        <v>555</v>
      </c>
      <c r="E32" s="4"/>
      <c r="F32" s="4">
        <v>551</v>
      </c>
      <c r="G32" s="5"/>
      <c r="H32" s="5"/>
      <c r="I32" s="17"/>
      <c r="J32" s="4">
        <v>537</v>
      </c>
      <c r="K32" s="3"/>
      <c r="L32" s="4"/>
      <c r="M32" s="4">
        <v>587</v>
      </c>
      <c r="N32" s="4"/>
    </row>
    <row r="33" spans="1:14" x14ac:dyDescent="0.25">
      <c r="A33" s="10" t="s">
        <v>33</v>
      </c>
      <c r="B33" s="4">
        <v>8</v>
      </c>
      <c r="C33" s="10" t="s">
        <v>19</v>
      </c>
      <c r="D33" s="10">
        <v>590</v>
      </c>
      <c r="E33" s="4"/>
      <c r="F33" s="4">
        <v>574</v>
      </c>
      <c r="G33" s="5"/>
      <c r="H33" s="5"/>
      <c r="I33" s="19"/>
      <c r="J33" s="6">
        <v>593</v>
      </c>
      <c r="K33" s="4"/>
      <c r="L33" s="4"/>
      <c r="M33" s="4">
        <v>595</v>
      </c>
      <c r="N33" s="4"/>
    </row>
    <row r="34" spans="1:14" x14ac:dyDescent="0.25">
      <c r="A34" s="10" t="s">
        <v>35</v>
      </c>
      <c r="B34" s="4">
        <v>9</v>
      </c>
      <c r="C34" s="10" t="s">
        <v>19</v>
      </c>
      <c r="D34" s="10">
        <v>561</v>
      </c>
      <c r="E34" s="4"/>
      <c r="F34" s="4">
        <v>545</v>
      </c>
      <c r="G34" s="5"/>
      <c r="H34" s="5"/>
      <c r="I34" s="17"/>
      <c r="J34" s="3">
        <v>531</v>
      </c>
      <c r="K34" s="3"/>
      <c r="L34" s="4"/>
      <c r="M34" s="4">
        <v>563</v>
      </c>
      <c r="N34" s="4"/>
    </row>
    <row r="35" spans="1:14" x14ac:dyDescent="0.25">
      <c r="A35" s="10" t="s">
        <v>37</v>
      </c>
      <c r="B35" s="4">
        <v>10</v>
      </c>
      <c r="C35" s="10" t="s">
        <v>12</v>
      </c>
      <c r="D35" s="10">
        <v>492</v>
      </c>
      <c r="E35" s="4"/>
      <c r="F35" s="4">
        <v>588</v>
      </c>
      <c r="G35" s="5"/>
      <c r="H35" s="5"/>
      <c r="I35" s="17"/>
      <c r="J35" s="3">
        <v>488</v>
      </c>
      <c r="K35" s="4"/>
      <c r="L35" s="4"/>
      <c r="M35" s="4">
        <v>499</v>
      </c>
      <c r="N35" s="4"/>
    </row>
    <row r="36" spans="1:14" x14ac:dyDescent="0.25">
      <c r="A36" s="10" t="s">
        <v>40</v>
      </c>
      <c r="B36" s="4">
        <v>11</v>
      </c>
      <c r="C36" s="10" t="s">
        <v>12</v>
      </c>
      <c r="D36" s="10">
        <v>503</v>
      </c>
      <c r="E36" s="4"/>
      <c r="F36" s="4">
        <v>506</v>
      </c>
      <c r="G36" s="4"/>
      <c r="H36" s="4"/>
      <c r="I36" s="9"/>
      <c r="J36" s="4">
        <v>477</v>
      </c>
      <c r="K36" s="4"/>
      <c r="L36" s="4"/>
      <c r="M36" s="4">
        <v>510</v>
      </c>
      <c r="N36" s="4"/>
    </row>
    <row r="37" spans="1:14" x14ac:dyDescent="0.25">
      <c r="A37" s="10" t="s">
        <v>42</v>
      </c>
      <c r="B37" s="4">
        <v>12</v>
      </c>
      <c r="C37" s="10" t="s">
        <v>12</v>
      </c>
      <c r="D37" s="10">
        <v>500</v>
      </c>
      <c r="E37" s="4"/>
      <c r="F37" s="4">
        <v>513</v>
      </c>
      <c r="G37" s="5"/>
      <c r="H37" s="5"/>
      <c r="I37" s="17"/>
      <c r="J37" s="3">
        <v>502</v>
      </c>
      <c r="K37" s="4"/>
      <c r="L37" s="4"/>
      <c r="M37" s="4">
        <v>525</v>
      </c>
      <c r="N37" s="30"/>
    </row>
    <row r="38" spans="1:14" x14ac:dyDescent="0.25">
      <c r="A38" s="10" t="s">
        <v>43</v>
      </c>
      <c r="B38" s="4">
        <v>13</v>
      </c>
      <c r="C38" s="10" t="s">
        <v>19</v>
      </c>
      <c r="D38" s="10">
        <v>492</v>
      </c>
      <c r="E38" s="4"/>
      <c r="F38" s="4">
        <v>488</v>
      </c>
      <c r="G38" s="5"/>
      <c r="H38" s="5"/>
      <c r="I38" s="17"/>
      <c r="J38" s="3">
        <v>493</v>
      </c>
      <c r="K38" s="4"/>
      <c r="L38" s="4"/>
      <c r="M38" s="4">
        <v>501</v>
      </c>
      <c r="N38" s="4"/>
    </row>
    <row r="39" spans="1:14" x14ac:dyDescent="0.25">
      <c r="A39" s="10" t="s">
        <v>44</v>
      </c>
      <c r="B39" s="4">
        <v>14</v>
      </c>
      <c r="C39" s="10" t="s">
        <v>12</v>
      </c>
      <c r="D39" s="10">
        <v>527</v>
      </c>
      <c r="E39" s="4"/>
      <c r="F39" s="4">
        <v>492</v>
      </c>
      <c r="G39" s="5"/>
      <c r="H39" s="5"/>
      <c r="I39" s="17"/>
      <c r="J39" s="3">
        <v>506</v>
      </c>
      <c r="K39" s="4"/>
      <c r="L39" s="4"/>
      <c r="M39" s="4">
        <v>508</v>
      </c>
      <c r="N39" s="4"/>
    </row>
    <row r="40" spans="1:14" x14ac:dyDescent="0.25">
      <c r="A40" s="10" t="s">
        <v>45</v>
      </c>
      <c r="B40" s="4">
        <v>15</v>
      </c>
      <c r="C40" s="10" t="s">
        <v>12</v>
      </c>
      <c r="D40" s="10">
        <v>533</v>
      </c>
      <c r="E40" s="4"/>
      <c r="F40" s="4">
        <v>549</v>
      </c>
      <c r="G40" s="5"/>
      <c r="H40" s="5"/>
      <c r="I40" s="17"/>
      <c r="J40" s="3">
        <v>571</v>
      </c>
      <c r="K40" s="4"/>
      <c r="L40" s="4"/>
      <c r="M40" s="4">
        <v>510</v>
      </c>
      <c r="N40" s="4"/>
    </row>
    <row r="41" spans="1:14" x14ac:dyDescent="0.25">
      <c r="A41" s="10" t="s">
        <v>46</v>
      </c>
      <c r="B41" s="4">
        <v>16</v>
      </c>
      <c r="C41" s="10" t="s">
        <v>12</v>
      </c>
      <c r="D41" s="10">
        <v>451</v>
      </c>
      <c r="E41" s="4"/>
      <c r="F41" s="4">
        <v>459</v>
      </c>
      <c r="G41" s="5"/>
      <c r="H41" s="5"/>
      <c r="I41" s="17"/>
      <c r="J41" s="3">
        <v>461</v>
      </c>
      <c r="K41" s="4"/>
      <c r="L41" s="4"/>
      <c r="M41" s="4">
        <v>512</v>
      </c>
      <c r="N41" s="4"/>
    </row>
    <row r="44" spans="1:14" x14ac:dyDescent="0.25">
      <c r="A44" s="7"/>
      <c r="B44" s="7"/>
      <c r="C44" s="7" t="s">
        <v>201</v>
      </c>
      <c r="D44" s="11" t="s">
        <v>217</v>
      </c>
      <c r="E44" s="11" t="s">
        <v>217</v>
      </c>
      <c r="F44" s="11" t="s">
        <v>217</v>
      </c>
      <c r="G44" s="11" t="s">
        <v>217</v>
      </c>
      <c r="H44" s="11" t="s">
        <v>217</v>
      </c>
      <c r="I44" s="11" t="s">
        <v>217</v>
      </c>
      <c r="J44" s="11" t="s">
        <v>217</v>
      </c>
      <c r="K44" s="11" t="s">
        <v>217</v>
      </c>
      <c r="L44" s="11" t="s">
        <v>217</v>
      </c>
      <c r="M44" s="11" t="s">
        <v>217</v>
      </c>
      <c r="N44" s="11" t="s">
        <v>217</v>
      </c>
    </row>
    <row r="45" spans="1:14" x14ac:dyDescent="0.25">
      <c r="A45" s="14" t="s">
        <v>218</v>
      </c>
      <c r="B45" s="7"/>
      <c r="C45" s="7"/>
      <c r="D45" s="14" t="s">
        <v>204</v>
      </c>
      <c r="E45" s="14" t="s">
        <v>205</v>
      </c>
      <c r="F45" s="14" t="s">
        <v>206</v>
      </c>
      <c r="G45" s="14" t="s">
        <v>207</v>
      </c>
      <c r="H45" s="14" t="s">
        <v>208</v>
      </c>
      <c r="I45" s="14" t="s">
        <v>209</v>
      </c>
      <c r="J45" s="14" t="s">
        <v>210</v>
      </c>
      <c r="K45" s="14" t="s">
        <v>211</v>
      </c>
      <c r="L45" s="14" t="s">
        <v>212</v>
      </c>
      <c r="M45" s="14" t="s">
        <v>213</v>
      </c>
      <c r="N45" s="14" t="s">
        <v>214</v>
      </c>
    </row>
    <row r="46" spans="1:14" x14ac:dyDescent="0.25">
      <c r="A46" s="7" t="s">
        <v>215</v>
      </c>
      <c r="B46" s="7" t="s">
        <v>216</v>
      </c>
      <c r="C46" s="7" t="s">
        <v>8</v>
      </c>
      <c r="D46" s="8">
        <v>44277</v>
      </c>
      <c r="E46" s="8">
        <v>44278</v>
      </c>
      <c r="F46" s="8">
        <v>44279</v>
      </c>
      <c r="G46" s="8">
        <v>44280</v>
      </c>
      <c r="H46" s="8">
        <v>44281</v>
      </c>
      <c r="I46" s="8">
        <v>44282</v>
      </c>
      <c r="J46" s="8">
        <v>44283</v>
      </c>
      <c r="K46" s="8">
        <v>44284</v>
      </c>
      <c r="L46" s="8">
        <v>44285</v>
      </c>
      <c r="M46" s="8">
        <v>44286</v>
      </c>
      <c r="N46" s="8">
        <v>44287</v>
      </c>
    </row>
    <row r="47" spans="1:14" x14ac:dyDescent="0.25">
      <c r="A47" s="10" t="s">
        <v>10</v>
      </c>
      <c r="B47" s="4">
        <v>1</v>
      </c>
      <c r="C47" s="10" t="s">
        <v>12</v>
      </c>
      <c r="D47" s="4">
        <v>20</v>
      </c>
      <c r="E47" s="4">
        <v>27</v>
      </c>
      <c r="F47" s="4">
        <v>26</v>
      </c>
      <c r="G47" s="5">
        <v>25</v>
      </c>
      <c r="H47" s="5">
        <v>30</v>
      </c>
      <c r="I47" s="17"/>
      <c r="J47" s="3">
        <v>31</v>
      </c>
      <c r="K47" s="4">
        <v>32</v>
      </c>
      <c r="L47" s="30">
        <v>26</v>
      </c>
      <c r="M47" s="4">
        <v>29</v>
      </c>
      <c r="N47" s="4">
        <v>24</v>
      </c>
    </row>
    <row r="48" spans="1:14" x14ac:dyDescent="0.25">
      <c r="A48" s="10" t="s">
        <v>15</v>
      </c>
      <c r="B48" s="4">
        <v>2</v>
      </c>
      <c r="C48" s="10" t="s">
        <v>12</v>
      </c>
      <c r="D48" s="4">
        <v>8</v>
      </c>
      <c r="E48" s="4">
        <v>13</v>
      </c>
      <c r="F48" s="4">
        <v>11</v>
      </c>
      <c r="G48" s="5">
        <v>9</v>
      </c>
      <c r="H48" s="5">
        <v>7</v>
      </c>
      <c r="I48" s="17"/>
      <c r="J48" s="3">
        <v>7</v>
      </c>
      <c r="K48" s="4">
        <v>14</v>
      </c>
      <c r="L48" s="4">
        <v>5</v>
      </c>
      <c r="M48" s="4">
        <v>6</v>
      </c>
      <c r="N48" s="30">
        <v>8</v>
      </c>
    </row>
    <row r="49" spans="1:14" x14ac:dyDescent="0.25">
      <c r="A49" s="10" t="s">
        <v>18</v>
      </c>
      <c r="B49" s="4">
        <v>3</v>
      </c>
      <c r="C49" s="10" t="s">
        <v>19</v>
      </c>
      <c r="D49" s="4">
        <v>7</v>
      </c>
      <c r="E49" s="4">
        <v>5</v>
      </c>
      <c r="F49" s="4">
        <v>16</v>
      </c>
      <c r="G49" s="5">
        <v>19</v>
      </c>
      <c r="H49" s="5">
        <v>12</v>
      </c>
      <c r="I49" s="17"/>
      <c r="J49" s="31">
        <v>15</v>
      </c>
      <c r="K49" s="4">
        <v>23</v>
      </c>
      <c r="L49" s="4">
        <v>10</v>
      </c>
      <c r="M49" s="4">
        <v>11</v>
      </c>
      <c r="N49" s="4">
        <v>17</v>
      </c>
    </row>
    <row r="50" spans="1:14" x14ac:dyDescent="0.25">
      <c r="A50" s="10" t="s">
        <v>22</v>
      </c>
      <c r="B50" s="4">
        <v>4</v>
      </c>
      <c r="C50" s="10" t="s">
        <v>12</v>
      </c>
      <c r="D50" s="4">
        <v>2</v>
      </c>
      <c r="E50" s="4">
        <v>1</v>
      </c>
      <c r="F50" s="4">
        <v>5</v>
      </c>
      <c r="G50" s="5">
        <v>75</v>
      </c>
      <c r="H50" s="5">
        <v>75</v>
      </c>
      <c r="I50" s="17"/>
      <c r="J50" s="3">
        <v>75</v>
      </c>
      <c r="K50" s="4">
        <v>75</v>
      </c>
      <c r="L50" s="4">
        <v>75</v>
      </c>
      <c r="M50" s="4">
        <v>75</v>
      </c>
      <c r="N50" s="4">
        <v>75</v>
      </c>
    </row>
    <row r="51" spans="1:14" x14ac:dyDescent="0.25">
      <c r="A51" s="10" t="s">
        <v>25</v>
      </c>
      <c r="B51" s="4">
        <v>5</v>
      </c>
      <c r="C51" s="10" t="s">
        <v>12</v>
      </c>
      <c r="D51" s="4">
        <v>33</v>
      </c>
      <c r="E51" s="4">
        <v>75</v>
      </c>
      <c r="F51" s="4">
        <v>75</v>
      </c>
      <c r="G51" s="5">
        <v>56</v>
      </c>
      <c r="H51" s="5">
        <v>75</v>
      </c>
      <c r="I51" s="17"/>
      <c r="J51" s="3">
        <v>75</v>
      </c>
      <c r="K51" s="4">
        <v>75</v>
      </c>
      <c r="L51" s="4">
        <v>75</v>
      </c>
      <c r="M51" s="4">
        <v>75</v>
      </c>
      <c r="N51" s="4">
        <v>60</v>
      </c>
    </row>
    <row r="52" spans="1:14" x14ac:dyDescent="0.25">
      <c r="A52" s="10" t="s">
        <v>28</v>
      </c>
      <c r="B52" s="4">
        <v>6</v>
      </c>
      <c r="C52" s="10" t="s">
        <v>12</v>
      </c>
      <c r="D52" s="4">
        <v>25</v>
      </c>
      <c r="E52" s="4">
        <v>37</v>
      </c>
      <c r="F52" s="4">
        <v>52</v>
      </c>
      <c r="G52" s="5">
        <v>61</v>
      </c>
      <c r="H52" s="5">
        <v>58</v>
      </c>
      <c r="I52" s="18"/>
      <c r="J52" s="32">
        <v>34</v>
      </c>
      <c r="K52" s="4">
        <v>60</v>
      </c>
      <c r="L52" s="4">
        <v>18</v>
      </c>
      <c r="M52" s="4">
        <v>65</v>
      </c>
      <c r="N52" s="30">
        <v>52</v>
      </c>
    </row>
    <row r="53" spans="1:14" x14ac:dyDescent="0.25">
      <c r="A53" s="10" t="s">
        <v>30</v>
      </c>
      <c r="B53" s="4">
        <v>7</v>
      </c>
      <c r="C53" s="10" t="s">
        <v>12</v>
      </c>
      <c r="D53" s="4">
        <v>5</v>
      </c>
      <c r="E53" s="4">
        <v>10</v>
      </c>
      <c r="F53" s="4">
        <v>18</v>
      </c>
      <c r="G53" s="5">
        <v>22</v>
      </c>
      <c r="H53" s="5">
        <v>71</v>
      </c>
      <c r="I53" s="17"/>
      <c r="J53" s="4">
        <v>75</v>
      </c>
      <c r="K53" s="3">
        <v>58</v>
      </c>
      <c r="L53" s="4">
        <v>63</v>
      </c>
      <c r="M53" s="4">
        <v>75</v>
      </c>
      <c r="N53" s="4">
        <v>46</v>
      </c>
    </row>
    <row r="54" spans="1:14" x14ac:dyDescent="0.25">
      <c r="A54" s="10" t="s">
        <v>33</v>
      </c>
      <c r="B54" s="4">
        <v>8</v>
      </c>
      <c r="C54" s="10" t="s">
        <v>19</v>
      </c>
      <c r="D54" s="34">
        <v>6</v>
      </c>
      <c r="E54" s="4">
        <v>3</v>
      </c>
      <c r="F54" s="4">
        <v>9</v>
      </c>
      <c r="G54" s="5">
        <v>23</v>
      </c>
      <c r="H54" s="5">
        <v>34</v>
      </c>
      <c r="I54" s="19"/>
      <c r="J54" s="6">
        <v>30</v>
      </c>
      <c r="K54" s="4">
        <v>16</v>
      </c>
      <c r="L54" s="4">
        <v>7</v>
      </c>
      <c r="M54" s="4">
        <v>15</v>
      </c>
      <c r="N54" s="4">
        <v>13</v>
      </c>
    </row>
    <row r="55" spans="1:14" x14ac:dyDescent="0.25">
      <c r="A55" s="10" t="s">
        <v>35</v>
      </c>
      <c r="B55" s="4">
        <v>9</v>
      </c>
      <c r="C55" s="10" t="s">
        <v>19</v>
      </c>
      <c r="D55" s="4">
        <v>9</v>
      </c>
      <c r="E55" s="4">
        <v>14</v>
      </c>
      <c r="F55" s="4">
        <v>10</v>
      </c>
      <c r="G55" s="5">
        <v>9</v>
      </c>
      <c r="H55" s="5">
        <v>18</v>
      </c>
      <c r="I55" s="17"/>
      <c r="J55" s="3">
        <v>11</v>
      </c>
      <c r="K55" s="3">
        <v>8</v>
      </c>
      <c r="L55" s="4">
        <v>2</v>
      </c>
      <c r="M55" s="4">
        <v>14</v>
      </c>
      <c r="N55" s="4">
        <v>12</v>
      </c>
    </row>
    <row r="56" spans="1:14" x14ac:dyDescent="0.25">
      <c r="A56" s="10" t="s">
        <v>37</v>
      </c>
      <c r="B56" s="4">
        <v>10</v>
      </c>
      <c r="C56" s="10" t="s">
        <v>12</v>
      </c>
      <c r="D56" s="4">
        <v>13</v>
      </c>
      <c r="E56" s="4">
        <v>17</v>
      </c>
      <c r="F56" s="4">
        <v>13</v>
      </c>
      <c r="G56" s="5">
        <v>13</v>
      </c>
      <c r="H56" s="5">
        <v>13</v>
      </c>
      <c r="I56" s="17"/>
      <c r="J56" s="3">
        <v>11</v>
      </c>
      <c r="K56" s="4">
        <v>11</v>
      </c>
      <c r="L56" s="4">
        <v>9</v>
      </c>
      <c r="M56" s="4">
        <v>8</v>
      </c>
      <c r="N56" s="4">
        <v>11</v>
      </c>
    </row>
    <row r="57" spans="1:14" x14ac:dyDescent="0.25">
      <c r="A57" s="10" t="s">
        <v>40</v>
      </c>
      <c r="B57" s="4">
        <v>11</v>
      </c>
      <c r="C57" s="10" t="s">
        <v>12</v>
      </c>
      <c r="D57" s="4">
        <v>30</v>
      </c>
      <c r="E57" s="4">
        <v>56</v>
      </c>
      <c r="F57" s="4">
        <v>40</v>
      </c>
      <c r="G57" s="4">
        <v>54</v>
      </c>
      <c r="H57" s="4">
        <v>52</v>
      </c>
      <c r="I57" s="9"/>
      <c r="J57" s="4">
        <v>31</v>
      </c>
      <c r="K57" s="4">
        <v>37</v>
      </c>
      <c r="L57" s="4">
        <v>23</v>
      </c>
      <c r="M57" s="4">
        <v>32</v>
      </c>
      <c r="N57" s="4">
        <v>21</v>
      </c>
    </row>
    <row r="58" spans="1:14" x14ac:dyDescent="0.25">
      <c r="A58" s="10" t="s">
        <v>42</v>
      </c>
      <c r="B58" s="4">
        <v>12</v>
      </c>
      <c r="C58" s="10" t="s">
        <v>12</v>
      </c>
      <c r="D58" s="4">
        <v>19</v>
      </c>
      <c r="E58" s="4">
        <v>22</v>
      </c>
      <c r="F58" s="4">
        <v>25</v>
      </c>
      <c r="G58" s="5">
        <v>18</v>
      </c>
      <c r="H58" s="5">
        <v>19</v>
      </c>
      <c r="I58" s="17"/>
      <c r="J58" s="3">
        <v>18</v>
      </c>
      <c r="K58" s="4">
        <v>16</v>
      </c>
      <c r="L58" s="4">
        <v>20</v>
      </c>
      <c r="M58" s="4">
        <v>17</v>
      </c>
      <c r="N58" s="30">
        <v>21</v>
      </c>
    </row>
    <row r="59" spans="1:14" x14ac:dyDescent="0.25">
      <c r="A59" s="10" t="s">
        <v>43</v>
      </c>
      <c r="B59" s="4">
        <v>13</v>
      </c>
      <c r="C59" s="10" t="s">
        <v>19</v>
      </c>
      <c r="D59" s="4">
        <v>10</v>
      </c>
      <c r="E59" s="4">
        <v>26</v>
      </c>
      <c r="F59" s="4">
        <v>16</v>
      </c>
      <c r="G59" s="5">
        <v>8</v>
      </c>
      <c r="H59" s="5">
        <v>9</v>
      </c>
      <c r="I59" s="17"/>
      <c r="J59" s="3">
        <v>13</v>
      </c>
      <c r="K59" s="4">
        <v>8</v>
      </c>
      <c r="L59" s="4">
        <v>6</v>
      </c>
      <c r="M59" s="4">
        <v>5</v>
      </c>
      <c r="N59" s="4">
        <v>9</v>
      </c>
    </row>
    <row r="60" spans="1:14" x14ac:dyDescent="0.25">
      <c r="A60" s="10" t="s">
        <v>44</v>
      </c>
      <c r="B60" s="4">
        <v>14</v>
      </c>
      <c r="C60" s="10" t="s">
        <v>12</v>
      </c>
      <c r="D60" s="4">
        <v>8</v>
      </c>
      <c r="E60" s="4">
        <v>32</v>
      </c>
      <c r="F60" s="4">
        <v>17</v>
      </c>
      <c r="G60" s="5">
        <v>22</v>
      </c>
      <c r="H60" s="5">
        <v>35</v>
      </c>
      <c r="I60" s="17"/>
      <c r="J60" s="3">
        <v>39</v>
      </c>
      <c r="K60" s="4">
        <v>27</v>
      </c>
      <c r="L60" s="4">
        <v>35</v>
      </c>
      <c r="M60" s="4">
        <v>44</v>
      </c>
      <c r="N60" s="4">
        <v>49</v>
      </c>
    </row>
    <row r="61" spans="1:14" x14ac:dyDescent="0.25">
      <c r="A61" s="10" t="s">
        <v>45</v>
      </c>
      <c r="B61" s="4">
        <v>15</v>
      </c>
      <c r="C61" s="10" t="s">
        <v>12</v>
      </c>
      <c r="D61" s="4">
        <v>44</v>
      </c>
      <c r="E61" s="4">
        <v>75</v>
      </c>
      <c r="F61" s="4">
        <v>75</v>
      </c>
      <c r="G61" s="5">
        <v>75</v>
      </c>
      <c r="H61" s="5">
        <v>72</v>
      </c>
      <c r="I61" s="17"/>
      <c r="J61" s="3">
        <v>30</v>
      </c>
      <c r="K61" s="4">
        <v>57</v>
      </c>
      <c r="L61" s="4">
        <v>70</v>
      </c>
      <c r="M61" s="4">
        <v>45</v>
      </c>
      <c r="N61" s="4">
        <v>27</v>
      </c>
    </row>
    <row r="62" spans="1:14" x14ac:dyDescent="0.25">
      <c r="A62" s="10" t="s">
        <v>46</v>
      </c>
      <c r="B62" s="4">
        <v>16</v>
      </c>
      <c r="C62" s="10" t="s">
        <v>12</v>
      </c>
      <c r="D62" s="4">
        <v>8</v>
      </c>
      <c r="E62" s="4">
        <v>8</v>
      </c>
      <c r="F62" s="4">
        <v>14</v>
      </c>
      <c r="G62" s="5">
        <v>22</v>
      </c>
      <c r="H62" s="5">
        <v>18</v>
      </c>
      <c r="I62" s="17"/>
      <c r="J62" s="3">
        <v>29</v>
      </c>
      <c r="K62" s="4">
        <v>25</v>
      </c>
      <c r="L62" s="4">
        <v>15</v>
      </c>
      <c r="M62" s="4">
        <v>20</v>
      </c>
      <c r="N62" s="4">
        <v>15</v>
      </c>
    </row>
    <row r="64" spans="1:14" x14ac:dyDescent="0.25">
      <c r="A64" s="7"/>
      <c r="B64" s="7"/>
      <c r="C64" s="7" t="s">
        <v>201</v>
      </c>
      <c r="D64" s="11" t="s">
        <v>217</v>
      </c>
      <c r="E64" s="11" t="s">
        <v>217</v>
      </c>
      <c r="F64" s="11" t="s">
        <v>217</v>
      </c>
      <c r="G64" s="11" t="s">
        <v>217</v>
      </c>
      <c r="H64" s="11" t="s">
        <v>217</v>
      </c>
      <c r="I64" s="11" t="s">
        <v>217</v>
      </c>
      <c r="J64" s="11" t="s">
        <v>217</v>
      </c>
      <c r="K64" s="11" t="s">
        <v>217</v>
      </c>
      <c r="L64" s="11" t="s">
        <v>217</v>
      </c>
      <c r="M64" s="11" t="s">
        <v>217</v>
      </c>
      <c r="N64" s="11" t="s">
        <v>217</v>
      </c>
    </row>
    <row r="65" spans="1:14" x14ac:dyDescent="0.25">
      <c r="A65" s="14" t="s">
        <v>219</v>
      </c>
      <c r="B65" s="7"/>
      <c r="C65" s="7"/>
      <c r="D65" s="14" t="s">
        <v>204</v>
      </c>
      <c r="E65" s="14" t="s">
        <v>205</v>
      </c>
      <c r="F65" s="14" t="s">
        <v>206</v>
      </c>
      <c r="G65" s="14" t="s">
        <v>207</v>
      </c>
      <c r="H65" s="14" t="s">
        <v>208</v>
      </c>
      <c r="I65" s="14" t="s">
        <v>209</v>
      </c>
      <c r="J65" s="14" t="s">
        <v>210</v>
      </c>
      <c r="K65" s="14" t="s">
        <v>211</v>
      </c>
      <c r="L65" s="14" t="s">
        <v>212</v>
      </c>
      <c r="M65" s="14" t="s">
        <v>213</v>
      </c>
      <c r="N65" s="14" t="s">
        <v>214</v>
      </c>
    </row>
    <row r="66" spans="1:14" x14ac:dyDescent="0.25">
      <c r="A66" s="7" t="s">
        <v>215</v>
      </c>
      <c r="B66" s="7" t="s">
        <v>216</v>
      </c>
      <c r="C66" s="7" t="s">
        <v>8</v>
      </c>
      <c r="D66" s="8">
        <v>44277</v>
      </c>
      <c r="E66" s="8">
        <v>44278</v>
      </c>
      <c r="F66" s="8">
        <v>44279</v>
      </c>
      <c r="G66" s="8">
        <v>44280</v>
      </c>
      <c r="H66" s="8">
        <v>44281</v>
      </c>
      <c r="I66" s="8">
        <v>44282</v>
      </c>
      <c r="J66" s="8">
        <v>44283</v>
      </c>
      <c r="K66" s="8">
        <v>44284</v>
      </c>
      <c r="L66" s="8">
        <v>44285</v>
      </c>
      <c r="M66" s="8">
        <v>44286</v>
      </c>
      <c r="N66" s="8">
        <v>44287</v>
      </c>
    </row>
    <row r="67" spans="1:14" x14ac:dyDescent="0.25">
      <c r="A67" s="10" t="s">
        <v>10</v>
      </c>
      <c r="B67" s="4">
        <v>1</v>
      </c>
      <c r="C67" s="10" t="s">
        <v>12</v>
      </c>
      <c r="D67" s="4">
        <v>30</v>
      </c>
      <c r="E67" s="4">
        <v>58</v>
      </c>
      <c r="F67" s="4">
        <v>44</v>
      </c>
      <c r="G67" s="5">
        <v>40</v>
      </c>
      <c r="H67" s="5">
        <v>49</v>
      </c>
      <c r="I67" s="17"/>
      <c r="J67" s="3">
        <v>44</v>
      </c>
      <c r="K67" s="4">
        <v>40</v>
      </c>
      <c r="L67" s="30">
        <v>34</v>
      </c>
      <c r="M67" s="4">
        <v>36</v>
      </c>
      <c r="N67" s="4">
        <v>28</v>
      </c>
    </row>
    <row r="68" spans="1:14" x14ac:dyDescent="0.25">
      <c r="A68" s="10" t="s">
        <v>15</v>
      </c>
      <c r="B68" s="4">
        <v>2</v>
      </c>
      <c r="C68" s="10" t="s">
        <v>12</v>
      </c>
      <c r="D68" s="4">
        <v>12</v>
      </c>
      <c r="E68" s="4">
        <v>30</v>
      </c>
      <c r="F68" s="4">
        <v>26</v>
      </c>
      <c r="G68" s="5">
        <v>10</v>
      </c>
      <c r="H68" s="5">
        <v>8</v>
      </c>
      <c r="I68" s="17"/>
      <c r="J68" s="3">
        <v>9</v>
      </c>
      <c r="K68" s="4">
        <v>18</v>
      </c>
      <c r="L68" s="4">
        <v>8</v>
      </c>
      <c r="M68" s="4">
        <v>11</v>
      </c>
      <c r="N68" s="30">
        <v>12</v>
      </c>
    </row>
    <row r="69" spans="1:14" x14ac:dyDescent="0.25">
      <c r="A69" s="10" t="s">
        <v>18</v>
      </c>
      <c r="B69" s="4">
        <v>3</v>
      </c>
      <c r="C69" s="10" t="s">
        <v>19</v>
      </c>
      <c r="D69" s="4">
        <v>10</v>
      </c>
      <c r="E69" s="4">
        <v>7</v>
      </c>
      <c r="F69" s="4">
        <v>18</v>
      </c>
      <c r="G69" s="5">
        <v>29</v>
      </c>
      <c r="H69" s="5">
        <v>21</v>
      </c>
      <c r="I69" s="17"/>
      <c r="J69" s="31">
        <v>27</v>
      </c>
      <c r="K69" s="4">
        <v>29</v>
      </c>
      <c r="L69" s="4">
        <v>16</v>
      </c>
      <c r="M69" s="4">
        <v>12</v>
      </c>
      <c r="N69" s="4">
        <v>21</v>
      </c>
    </row>
    <row r="70" spans="1:14" x14ac:dyDescent="0.25">
      <c r="A70" s="10" t="s">
        <v>22</v>
      </c>
      <c r="B70" s="4">
        <v>4</v>
      </c>
      <c r="C70" s="10" t="s">
        <v>12</v>
      </c>
      <c r="D70" s="4">
        <v>0</v>
      </c>
      <c r="E70" s="4">
        <v>1</v>
      </c>
      <c r="F70" s="4">
        <v>6</v>
      </c>
      <c r="G70" s="5">
        <v>250</v>
      </c>
      <c r="H70" s="5">
        <v>183</v>
      </c>
      <c r="I70" s="17"/>
      <c r="J70" s="3">
        <v>229</v>
      </c>
      <c r="K70" s="4">
        <v>496</v>
      </c>
      <c r="L70" s="4">
        <v>196</v>
      </c>
      <c r="M70" s="4">
        <v>345</v>
      </c>
      <c r="N70" s="4">
        <v>350</v>
      </c>
    </row>
    <row r="71" spans="1:14" x14ac:dyDescent="0.25">
      <c r="A71" s="10" t="s">
        <v>25</v>
      </c>
      <c r="B71" s="4">
        <v>5</v>
      </c>
      <c r="C71" s="10" t="s">
        <v>12</v>
      </c>
      <c r="D71" s="4">
        <v>86</v>
      </c>
      <c r="E71" s="4">
        <v>442</v>
      </c>
      <c r="F71" s="4">
        <v>417</v>
      </c>
      <c r="G71" s="5">
        <v>199</v>
      </c>
      <c r="H71" s="5">
        <v>328</v>
      </c>
      <c r="I71" s="17"/>
      <c r="J71" s="3">
        <v>722</v>
      </c>
      <c r="K71" s="4">
        <v>390</v>
      </c>
      <c r="L71" s="4">
        <v>469</v>
      </c>
      <c r="M71" s="4">
        <v>351</v>
      </c>
      <c r="N71" s="4">
        <v>268</v>
      </c>
    </row>
    <row r="72" spans="1:14" x14ac:dyDescent="0.25">
      <c r="A72" s="10" t="s">
        <v>28</v>
      </c>
      <c r="B72" s="4">
        <v>6</v>
      </c>
      <c r="C72" s="10" t="s">
        <v>12</v>
      </c>
      <c r="D72" s="4">
        <v>70</v>
      </c>
      <c r="E72" s="4">
        <v>198</v>
      </c>
      <c r="F72" s="4">
        <v>101</v>
      </c>
      <c r="G72" s="5">
        <v>153</v>
      </c>
      <c r="H72" s="5">
        <v>106</v>
      </c>
      <c r="I72" s="18"/>
      <c r="J72" s="32">
        <v>80</v>
      </c>
      <c r="K72" s="4">
        <v>151</v>
      </c>
      <c r="L72" s="4">
        <v>29</v>
      </c>
      <c r="M72" s="4">
        <v>143</v>
      </c>
      <c r="N72" s="30">
        <v>126</v>
      </c>
    </row>
    <row r="73" spans="1:14" x14ac:dyDescent="0.25">
      <c r="A73" s="10" t="s">
        <v>30</v>
      </c>
      <c r="B73" s="4">
        <v>7</v>
      </c>
      <c r="C73" s="10" t="s">
        <v>12</v>
      </c>
      <c r="D73" s="4">
        <v>7</v>
      </c>
      <c r="E73" s="4">
        <v>16</v>
      </c>
      <c r="F73" s="4">
        <v>43</v>
      </c>
      <c r="G73" s="5">
        <v>54</v>
      </c>
      <c r="H73" s="5">
        <v>181</v>
      </c>
      <c r="I73" s="17"/>
      <c r="J73" s="4">
        <v>269</v>
      </c>
      <c r="K73" s="3">
        <v>326</v>
      </c>
      <c r="L73" s="4">
        <v>431</v>
      </c>
      <c r="M73" s="4">
        <v>356</v>
      </c>
      <c r="N73" s="4">
        <v>189</v>
      </c>
    </row>
    <row r="74" spans="1:14" x14ac:dyDescent="0.25">
      <c r="A74" s="10" t="s">
        <v>33</v>
      </c>
      <c r="B74" s="4">
        <v>8</v>
      </c>
      <c r="C74" s="10" t="s">
        <v>19</v>
      </c>
      <c r="D74" s="30">
        <v>7</v>
      </c>
      <c r="E74" s="4">
        <v>4</v>
      </c>
      <c r="F74" s="4">
        <v>15</v>
      </c>
      <c r="G74" s="5">
        <v>45</v>
      </c>
      <c r="H74" s="5">
        <v>64</v>
      </c>
      <c r="I74" s="19"/>
      <c r="J74" s="6">
        <v>50</v>
      </c>
      <c r="K74" s="4">
        <v>21</v>
      </c>
      <c r="L74" s="4">
        <v>11</v>
      </c>
      <c r="M74" s="4">
        <v>21</v>
      </c>
      <c r="N74" s="4">
        <v>17</v>
      </c>
    </row>
    <row r="75" spans="1:14" x14ac:dyDescent="0.25">
      <c r="A75" s="10" t="s">
        <v>35</v>
      </c>
      <c r="B75" s="4">
        <v>9</v>
      </c>
      <c r="C75" s="10" t="s">
        <v>19</v>
      </c>
      <c r="D75" s="4">
        <v>13</v>
      </c>
      <c r="E75" s="4">
        <v>18</v>
      </c>
      <c r="F75" s="4">
        <v>12</v>
      </c>
      <c r="G75" s="5">
        <v>12</v>
      </c>
      <c r="H75" s="5">
        <v>23</v>
      </c>
      <c r="I75" s="17"/>
      <c r="J75" s="3">
        <v>12</v>
      </c>
      <c r="K75" s="3">
        <v>9</v>
      </c>
      <c r="L75" s="4">
        <v>2</v>
      </c>
      <c r="M75" s="4">
        <v>22</v>
      </c>
      <c r="N75" s="4">
        <v>13</v>
      </c>
    </row>
    <row r="76" spans="1:14" x14ac:dyDescent="0.25">
      <c r="A76" s="10" t="s">
        <v>37</v>
      </c>
      <c r="B76" s="4">
        <v>10</v>
      </c>
      <c r="C76" s="10" t="s">
        <v>12</v>
      </c>
      <c r="D76" s="4">
        <v>20</v>
      </c>
      <c r="E76" s="4">
        <v>20</v>
      </c>
      <c r="F76" s="4">
        <v>17</v>
      </c>
      <c r="G76" s="5">
        <v>26</v>
      </c>
      <c r="H76" s="5">
        <v>20</v>
      </c>
      <c r="I76" s="17"/>
      <c r="J76" s="3">
        <v>16</v>
      </c>
      <c r="K76" s="4">
        <v>11</v>
      </c>
      <c r="L76" s="4">
        <v>11</v>
      </c>
      <c r="M76" s="4">
        <v>15</v>
      </c>
      <c r="N76" s="4">
        <v>16</v>
      </c>
    </row>
    <row r="77" spans="1:14" x14ac:dyDescent="0.25">
      <c r="A77" s="10" t="s">
        <v>40</v>
      </c>
      <c r="B77" s="4">
        <v>11</v>
      </c>
      <c r="C77" s="10" t="s">
        <v>12</v>
      </c>
      <c r="D77" s="4">
        <v>54</v>
      </c>
      <c r="E77" s="4">
        <v>175</v>
      </c>
      <c r="F77" s="4">
        <v>88</v>
      </c>
      <c r="G77" s="4">
        <v>157</v>
      </c>
      <c r="H77" s="4">
        <v>147</v>
      </c>
      <c r="I77" s="9"/>
      <c r="J77" s="4">
        <v>79</v>
      </c>
      <c r="K77" s="4">
        <v>60</v>
      </c>
      <c r="L77" s="4">
        <v>35</v>
      </c>
      <c r="M77" s="4">
        <v>56</v>
      </c>
      <c r="N77" s="4">
        <v>34</v>
      </c>
    </row>
    <row r="78" spans="1:14" x14ac:dyDescent="0.25">
      <c r="A78" s="10" t="s">
        <v>42</v>
      </c>
      <c r="B78" s="4">
        <v>12</v>
      </c>
      <c r="C78" s="10" t="s">
        <v>12</v>
      </c>
      <c r="D78" s="4">
        <v>50</v>
      </c>
      <c r="E78" s="4">
        <v>45</v>
      </c>
      <c r="F78" s="4">
        <v>34</v>
      </c>
      <c r="G78" s="5">
        <v>23</v>
      </c>
      <c r="H78" s="5">
        <v>27</v>
      </c>
      <c r="I78" s="17"/>
      <c r="J78" s="3">
        <v>23</v>
      </c>
      <c r="K78" s="4">
        <v>23</v>
      </c>
      <c r="L78" s="4">
        <v>24</v>
      </c>
      <c r="M78" s="4">
        <v>24</v>
      </c>
      <c r="N78" s="30">
        <v>33</v>
      </c>
    </row>
    <row r="79" spans="1:14" x14ac:dyDescent="0.25">
      <c r="A79" s="10" t="s">
        <v>43</v>
      </c>
      <c r="B79" s="4">
        <v>13</v>
      </c>
      <c r="C79" s="10" t="s">
        <v>19</v>
      </c>
      <c r="D79" s="4">
        <v>13</v>
      </c>
      <c r="E79" s="4">
        <v>32</v>
      </c>
      <c r="F79" s="4">
        <v>24</v>
      </c>
      <c r="G79" s="5">
        <v>14</v>
      </c>
      <c r="H79" s="5">
        <v>11</v>
      </c>
      <c r="I79" s="17"/>
      <c r="J79" s="3">
        <v>17</v>
      </c>
      <c r="K79" s="4">
        <v>8</v>
      </c>
      <c r="L79" s="4">
        <v>6</v>
      </c>
      <c r="M79" s="4">
        <v>7</v>
      </c>
      <c r="N79" s="4">
        <v>15</v>
      </c>
    </row>
    <row r="80" spans="1:14" x14ac:dyDescent="0.25">
      <c r="A80" s="10" t="s">
        <v>44</v>
      </c>
      <c r="B80" s="4">
        <v>14</v>
      </c>
      <c r="C80" s="10" t="s">
        <v>12</v>
      </c>
      <c r="D80" s="4">
        <v>17</v>
      </c>
      <c r="E80" s="4">
        <v>65</v>
      </c>
      <c r="F80" s="4">
        <v>40</v>
      </c>
      <c r="G80" s="5">
        <v>40</v>
      </c>
      <c r="H80" s="5">
        <v>64</v>
      </c>
      <c r="I80" s="17"/>
      <c r="J80" s="3">
        <v>95</v>
      </c>
      <c r="K80" s="4">
        <v>47</v>
      </c>
      <c r="L80" s="4">
        <v>45</v>
      </c>
      <c r="M80" s="4">
        <v>92</v>
      </c>
      <c r="N80" s="4">
        <v>63</v>
      </c>
    </row>
    <row r="81" spans="1:14" x14ac:dyDescent="0.25">
      <c r="A81" s="10" t="s">
        <v>45</v>
      </c>
      <c r="B81" s="4">
        <v>15</v>
      </c>
      <c r="C81" s="10" t="s">
        <v>12</v>
      </c>
      <c r="D81" s="4">
        <v>133</v>
      </c>
      <c r="E81" s="4">
        <v>500</v>
      </c>
      <c r="F81" s="4">
        <v>680</v>
      </c>
      <c r="G81" s="5">
        <v>466</v>
      </c>
      <c r="H81" s="5">
        <v>189</v>
      </c>
      <c r="I81" s="17"/>
      <c r="J81" s="3">
        <v>99</v>
      </c>
      <c r="K81" s="4">
        <v>191</v>
      </c>
      <c r="L81" s="4">
        <v>232</v>
      </c>
      <c r="M81" s="4">
        <v>85</v>
      </c>
      <c r="N81" s="4">
        <v>51</v>
      </c>
    </row>
    <row r="82" spans="1:14" x14ac:dyDescent="0.25">
      <c r="A82" s="10" t="s">
        <v>46</v>
      </c>
      <c r="B82" s="4">
        <v>16</v>
      </c>
      <c r="C82" s="10" t="s">
        <v>12</v>
      </c>
      <c r="D82" s="4">
        <v>14</v>
      </c>
      <c r="E82" s="4">
        <v>11</v>
      </c>
      <c r="F82" s="4">
        <v>18</v>
      </c>
      <c r="G82" s="5">
        <v>28</v>
      </c>
      <c r="H82" s="5">
        <v>27</v>
      </c>
      <c r="I82" s="17"/>
      <c r="J82" s="3">
        <v>34</v>
      </c>
      <c r="K82" s="4">
        <v>27</v>
      </c>
      <c r="L82" s="4">
        <v>17</v>
      </c>
      <c r="M82" s="4">
        <v>22</v>
      </c>
      <c r="N82" s="4">
        <v>16</v>
      </c>
    </row>
    <row r="84" spans="1:14" x14ac:dyDescent="0.25">
      <c r="A84" s="7"/>
      <c r="B84" s="7"/>
      <c r="C84" s="7" t="s">
        <v>201</v>
      </c>
      <c r="D84" s="11" t="s">
        <v>217</v>
      </c>
      <c r="E84" s="11" t="s">
        <v>217</v>
      </c>
      <c r="F84" s="11" t="s">
        <v>217</v>
      </c>
      <c r="G84" s="11" t="s">
        <v>217</v>
      </c>
      <c r="H84" s="11" t="s">
        <v>217</v>
      </c>
      <c r="I84" s="11" t="s">
        <v>217</v>
      </c>
      <c r="J84" s="11" t="s">
        <v>217</v>
      </c>
      <c r="K84" s="11" t="s">
        <v>217</v>
      </c>
      <c r="L84" s="11" t="s">
        <v>217</v>
      </c>
      <c r="M84" s="11" t="s">
        <v>217</v>
      </c>
      <c r="N84" s="11" t="s">
        <v>217</v>
      </c>
    </row>
    <row r="85" spans="1:14" x14ac:dyDescent="0.25">
      <c r="A85" s="14" t="s">
        <v>220</v>
      </c>
      <c r="B85" s="7"/>
      <c r="C85" s="7"/>
      <c r="D85" s="14" t="s">
        <v>204</v>
      </c>
      <c r="E85" s="14" t="s">
        <v>205</v>
      </c>
      <c r="F85" s="14" t="s">
        <v>206</v>
      </c>
      <c r="G85" s="14" t="s">
        <v>207</v>
      </c>
      <c r="H85" s="14" t="s">
        <v>208</v>
      </c>
      <c r="I85" s="14" t="s">
        <v>209</v>
      </c>
      <c r="J85" s="14" t="s">
        <v>210</v>
      </c>
      <c r="K85" s="14" t="s">
        <v>211</v>
      </c>
      <c r="L85" s="14" t="s">
        <v>212</v>
      </c>
      <c r="M85" s="14" t="s">
        <v>213</v>
      </c>
      <c r="N85" s="14" t="s">
        <v>214</v>
      </c>
    </row>
    <row r="86" spans="1:14" x14ac:dyDescent="0.25">
      <c r="A86" s="7" t="s">
        <v>215</v>
      </c>
      <c r="B86" s="7" t="s">
        <v>216</v>
      </c>
      <c r="C86" s="7" t="s">
        <v>8</v>
      </c>
      <c r="D86" s="8">
        <v>44277</v>
      </c>
      <c r="E86" s="8">
        <v>44278</v>
      </c>
      <c r="F86" s="8">
        <v>44279</v>
      </c>
      <c r="G86" s="8">
        <v>44280</v>
      </c>
      <c r="H86" s="8">
        <v>44281</v>
      </c>
      <c r="I86" s="8">
        <v>44282</v>
      </c>
      <c r="J86" s="8">
        <v>44283</v>
      </c>
      <c r="K86" s="8">
        <v>44284</v>
      </c>
      <c r="L86" s="8">
        <v>44285</v>
      </c>
      <c r="M86" s="8">
        <v>44286</v>
      </c>
      <c r="N86" s="8">
        <v>44287</v>
      </c>
    </row>
    <row r="87" spans="1:14" x14ac:dyDescent="0.25">
      <c r="A87" s="10" t="s">
        <v>10</v>
      </c>
      <c r="B87" s="4">
        <v>1</v>
      </c>
      <c r="C87" s="10" t="s">
        <v>12</v>
      </c>
      <c r="D87" s="4">
        <v>10</v>
      </c>
      <c r="E87" s="4">
        <v>8</v>
      </c>
      <c r="F87" s="4">
        <v>7</v>
      </c>
      <c r="G87" s="5">
        <v>4</v>
      </c>
      <c r="H87" s="5">
        <v>4</v>
      </c>
      <c r="I87" s="17"/>
      <c r="J87" s="3">
        <v>13</v>
      </c>
      <c r="K87" s="4">
        <v>4</v>
      </c>
      <c r="L87" s="30">
        <v>7</v>
      </c>
      <c r="M87" s="4">
        <v>8</v>
      </c>
      <c r="N87" s="4">
        <v>3</v>
      </c>
    </row>
    <row r="88" spans="1:14" x14ac:dyDescent="0.25">
      <c r="A88" s="10" t="s">
        <v>15</v>
      </c>
      <c r="B88" s="4">
        <v>2</v>
      </c>
      <c r="C88" s="10" t="s">
        <v>12</v>
      </c>
      <c r="D88" s="4">
        <v>15</v>
      </c>
      <c r="E88" s="4">
        <v>19</v>
      </c>
      <c r="F88" s="4">
        <v>11</v>
      </c>
      <c r="G88" s="5">
        <v>8</v>
      </c>
      <c r="H88" s="5">
        <v>12</v>
      </c>
      <c r="I88" s="17"/>
      <c r="J88" s="3">
        <v>7</v>
      </c>
      <c r="K88" s="4">
        <v>3</v>
      </c>
      <c r="L88" s="4">
        <v>13</v>
      </c>
      <c r="M88" s="4">
        <v>6</v>
      </c>
      <c r="N88" s="30">
        <v>20</v>
      </c>
    </row>
    <row r="89" spans="1:14" x14ac:dyDescent="0.25">
      <c r="A89" s="10" t="s">
        <v>18</v>
      </c>
      <c r="B89" s="4">
        <v>3</v>
      </c>
      <c r="C89" s="10" t="s">
        <v>19</v>
      </c>
      <c r="D89" s="4">
        <v>3</v>
      </c>
      <c r="E89" s="4">
        <v>7</v>
      </c>
      <c r="F89" s="4">
        <v>14</v>
      </c>
      <c r="G89" s="5">
        <v>12</v>
      </c>
      <c r="H89" s="5">
        <v>17</v>
      </c>
      <c r="I89" s="17"/>
      <c r="J89" s="31">
        <v>17</v>
      </c>
      <c r="K89" s="4">
        <v>5</v>
      </c>
      <c r="L89" s="4">
        <v>8</v>
      </c>
      <c r="M89" s="4">
        <v>10</v>
      </c>
      <c r="N89" s="4">
        <v>19</v>
      </c>
    </row>
    <row r="90" spans="1:14" x14ac:dyDescent="0.25">
      <c r="A90" s="10" t="s">
        <v>22</v>
      </c>
      <c r="B90" s="4">
        <v>4</v>
      </c>
      <c r="C90" s="10" t="s">
        <v>12</v>
      </c>
      <c r="D90" s="4">
        <v>9</v>
      </c>
      <c r="E90" s="4">
        <v>0</v>
      </c>
      <c r="F90" s="4">
        <v>7</v>
      </c>
      <c r="G90" s="5">
        <v>5</v>
      </c>
      <c r="H90" s="5">
        <v>0</v>
      </c>
      <c r="I90" s="17"/>
      <c r="J90" s="3">
        <v>0</v>
      </c>
      <c r="K90">
        <v>0</v>
      </c>
      <c r="L90" s="4">
        <v>0</v>
      </c>
      <c r="M90" s="4">
        <v>1</v>
      </c>
      <c r="N90" s="4">
        <v>10</v>
      </c>
    </row>
    <row r="91" spans="1:14" x14ac:dyDescent="0.25">
      <c r="A91" s="10" t="s">
        <v>25</v>
      </c>
      <c r="B91" s="4">
        <v>5</v>
      </c>
      <c r="C91" s="10" t="s">
        <v>12</v>
      </c>
      <c r="D91" s="4">
        <v>11</v>
      </c>
      <c r="E91" s="4">
        <v>12</v>
      </c>
      <c r="F91" s="4">
        <v>1</v>
      </c>
      <c r="G91" s="5">
        <v>1</v>
      </c>
      <c r="H91" s="5">
        <v>15</v>
      </c>
      <c r="I91" s="17"/>
      <c r="J91" s="3">
        <v>69</v>
      </c>
      <c r="K91" s="4">
        <v>31</v>
      </c>
      <c r="L91" s="4">
        <v>1</v>
      </c>
      <c r="M91" s="4">
        <v>27</v>
      </c>
      <c r="N91" s="4">
        <v>5</v>
      </c>
    </row>
    <row r="92" spans="1:14" x14ac:dyDescent="0.25">
      <c r="A92" s="10" t="s">
        <v>28</v>
      </c>
      <c r="B92" s="4">
        <v>6</v>
      </c>
      <c r="C92" s="10" t="s">
        <v>12</v>
      </c>
      <c r="D92" s="4">
        <v>12</v>
      </c>
      <c r="E92" s="4">
        <v>24</v>
      </c>
      <c r="F92" s="4">
        <v>112</v>
      </c>
      <c r="G92" s="5">
        <v>139</v>
      </c>
      <c r="H92" s="5">
        <v>215</v>
      </c>
      <c r="I92" s="18"/>
      <c r="J92" s="32">
        <v>54</v>
      </c>
      <c r="K92" s="4">
        <v>1296</v>
      </c>
      <c r="L92" s="4">
        <v>36</v>
      </c>
      <c r="M92" s="4">
        <v>433</v>
      </c>
      <c r="N92" s="30">
        <v>21</v>
      </c>
    </row>
    <row r="93" spans="1:14" x14ac:dyDescent="0.25">
      <c r="A93" s="10" t="s">
        <v>30</v>
      </c>
      <c r="B93" s="4">
        <v>7</v>
      </c>
      <c r="C93" s="10" t="s">
        <v>12</v>
      </c>
      <c r="D93" s="4">
        <v>7</v>
      </c>
      <c r="E93" s="4">
        <v>1</v>
      </c>
      <c r="F93" s="4">
        <v>11</v>
      </c>
      <c r="G93" s="5">
        <v>9</v>
      </c>
      <c r="H93" s="5">
        <v>156</v>
      </c>
      <c r="I93" s="17"/>
      <c r="J93" s="4">
        <v>1</v>
      </c>
      <c r="K93" s="4">
        <v>5</v>
      </c>
      <c r="L93" s="4">
        <v>3</v>
      </c>
      <c r="M93" s="4">
        <v>7</v>
      </c>
      <c r="N93" s="4">
        <v>1</v>
      </c>
    </row>
    <row r="94" spans="1:14" x14ac:dyDescent="0.25">
      <c r="A94" s="10" t="s">
        <v>33</v>
      </c>
      <c r="B94" s="4">
        <v>8</v>
      </c>
      <c r="C94" s="10" t="s">
        <v>19</v>
      </c>
      <c r="D94" s="30">
        <v>13</v>
      </c>
      <c r="E94" s="4">
        <v>42</v>
      </c>
      <c r="F94" s="4">
        <v>3</v>
      </c>
      <c r="G94" s="5">
        <v>4</v>
      </c>
      <c r="H94" s="5">
        <v>16</v>
      </c>
      <c r="I94" s="19"/>
      <c r="J94" s="6">
        <v>13</v>
      </c>
      <c r="K94" s="3">
        <v>5</v>
      </c>
      <c r="L94" s="4">
        <v>5</v>
      </c>
      <c r="M94" s="4">
        <v>6</v>
      </c>
      <c r="N94" s="4">
        <v>1</v>
      </c>
    </row>
    <row r="95" spans="1:14" x14ac:dyDescent="0.25">
      <c r="A95" s="10" t="s">
        <v>35</v>
      </c>
      <c r="B95" s="4">
        <v>9</v>
      </c>
      <c r="C95" s="10" t="s">
        <v>19</v>
      </c>
      <c r="D95" s="4">
        <v>14</v>
      </c>
      <c r="E95" s="4">
        <v>9</v>
      </c>
      <c r="F95" s="4">
        <v>4</v>
      </c>
      <c r="G95" s="5">
        <v>2</v>
      </c>
      <c r="H95" s="5">
        <v>2</v>
      </c>
      <c r="I95" s="17"/>
      <c r="J95" s="3">
        <v>19</v>
      </c>
      <c r="K95" s="4">
        <v>5</v>
      </c>
      <c r="L95" s="4">
        <v>1</v>
      </c>
      <c r="M95" s="4">
        <v>2</v>
      </c>
      <c r="N95" s="4">
        <v>10</v>
      </c>
    </row>
    <row r="96" spans="1:14" x14ac:dyDescent="0.25">
      <c r="A96" s="10" t="s">
        <v>37</v>
      </c>
      <c r="B96" s="4">
        <v>10</v>
      </c>
      <c r="C96" s="10" t="s">
        <v>12</v>
      </c>
      <c r="D96" s="4">
        <v>15</v>
      </c>
      <c r="E96" s="4">
        <v>21</v>
      </c>
      <c r="F96" s="4">
        <v>2</v>
      </c>
      <c r="G96" s="5">
        <v>5</v>
      </c>
      <c r="H96" s="5">
        <v>6</v>
      </c>
      <c r="I96" s="17"/>
      <c r="J96" s="3">
        <v>7</v>
      </c>
      <c r="K96" s="3">
        <v>0</v>
      </c>
      <c r="L96" s="4">
        <v>8</v>
      </c>
      <c r="M96" s="4">
        <v>5</v>
      </c>
      <c r="N96" s="4">
        <v>5</v>
      </c>
    </row>
    <row r="97" spans="1:14" x14ac:dyDescent="0.25">
      <c r="A97" s="10" t="s">
        <v>40</v>
      </c>
      <c r="B97" s="4">
        <v>11</v>
      </c>
      <c r="C97" s="10" t="s">
        <v>12</v>
      </c>
      <c r="D97" s="4">
        <v>4</v>
      </c>
      <c r="E97" s="4">
        <v>12</v>
      </c>
      <c r="F97" s="4">
        <v>10</v>
      </c>
      <c r="G97" s="4">
        <v>10</v>
      </c>
      <c r="H97" s="4">
        <v>35</v>
      </c>
      <c r="I97" s="9"/>
      <c r="J97" s="4">
        <v>7</v>
      </c>
      <c r="K97" s="4">
        <v>6</v>
      </c>
      <c r="L97" s="4">
        <v>15</v>
      </c>
      <c r="M97" s="4">
        <v>15</v>
      </c>
      <c r="N97" s="4">
        <v>35</v>
      </c>
    </row>
    <row r="98" spans="1:14" x14ac:dyDescent="0.25">
      <c r="A98" s="10" t="s">
        <v>42</v>
      </c>
      <c r="B98" s="4">
        <v>12</v>
      </c>
      <c r="C98" s="10" t="s">
        <v>12</v>
      </c>
      <c r="D98" s="4">
        <v>44</v>
      </c>
      <c r="E98" s="4">
        <v>12</v>
      </c>
      <c r="F98" s="4">
        <v>24</v>
      </c>
      <c r="G98" s="5">
        <v>4</v>
      </c>
      <c r="H98" s="5">
        <v>10</v>
      </c>
      <c r="I98" s="17"/>
      <c r="J98" s="3">
        <v>13</v>
      </c>
      <c r="K98" s="4">
        <v>13</v>
      </c>
      <c r="L98" s="4">
        <v>8</v>
      </c>
      <c r="M98" s="4">
        <v>14</v>
      </c>
      <c r="N98" s="30">
        <v>6</v>
      </c>
    </row>
    <row r="99" spans="1:14" x14ac:dyDescent="0.25">
      <c r="A99" s="10" t="s">
        <v>43</v>
      </c>
      <c r="B99" s="4">
        <v>13</v>
      </c>
      <c r="C99" s="10" t="s">
        <v>19</v>
      </c>
      <c r="D99" s="4">
        <v>6</v>
      </c>
      <c r="E99" s="4">
        <v>9</v>
      </c>
      <c r="F99" s="4">
        <v>3</v>
      </c>
      <c r="G99" s="5">
        <v>1</v>
      </c>
      <c r="H99" s="5">
        <v>1</v>
      </c>
      <c r="I99" s="17"/>
      <c r="J99" s="3">
        <v>3</v>
      </c>
      <c r="K99" s="4">
        <v>3</v>
      </c>
      <c r="L99" s="4">
        <v>0</v>
      </c>
      <c r="M99" s="4">
        <v>1</v>
      </c>
      <c r="N99" s="4">
        <v>0</v>
      </c>
    </row>
    <row r="100" spans="1:14" x14ac:dyDescent="0.25">
      <c r="A100" s="10" t="s">
        <v>44</v>
      </c>
      <c r="B100" s="4">
        <v>14</v>
      </c>
      <c r="C100" s="10" t="s">
        <v>12</v>
      </c>
      <c r="D100" s="4">
        <v>2</v>
      </c>
      <c r="E100" s="4">
        <v>12</v>
      </c>
      <c r="F100" s="4">
        <v>5</v>
      </c>
      <c r="G100" s="5">
        <v>6</v>
      </c>
      <c r="H100" s="5">
        <v>5</v>
      </c>
      <c r="I100" s="17"/>
      <c r="J100" s="3">
        <v>5</v>
      </c>
      <c r="K100" s="4">
        <v>4</v>
      </c>
      <c r="L100" s="4">
        <v>2</v>
      </c>
      <c r="M100" s="4">
        <v>7</v>
      </c>
      <c r="N100" s="4">
        <v>0</v>
      </c>
    </row>
    <row r="101" spans="1:14" x14ac:dyDescent="0.25">
      <c r="A101" s="10" t="s">
        <v>45</v>
      </c>
      <c r="B101" s="4">
        <v>15</v>
      </c>
      <c r="C101" s="10" t="s">
        <v>12</v>
      </c>
      <c r="D101" s="4">
        <v>10</v>
      </c>
      <c r="E101" s="4">
        <v>46</v>
      </c>
      <c r="F101" s="4">
        <v>20</v>
      </c>
      <c r="G101" s="5">
        <v>55</v>
      </c>
      <c r="H101" s="5">
        <v>30</v>
      </c>
      <c r="I101" s="17"/>
      <c r="J101" s="3">
        <v>244</v>
      </c>
      <c r="K101" s="4">
        <v>23</v>
      </c>
      <c r="L101" s="4">
        <v>11</v>
      </c>
      <c r="M101" s="4">
        <v>4</v>
      </c>
      <c r="N101" s="4">
        <v>3</v>
      </c>
    </row>
    <row r="102" spans="1:14" x14ac:dyDescent="0.25">
      <c r="A102" s="10" t="s">
        <v>46</v>
      </c>
      <c r="B102" s="4">
        <v>16</v>
      </c>
      <c r="C102" s="10" t="s">
        <v>12</v>
      </c>
      <c r="D102" s="4">
        <v>8</v>
      </c>
      <c r="E102" s="4">
        <v>0</v>
      </c>
      <c r="F102" s="4">
        <v>2</v>
      </c>
      <c r="G102" s="5">
        <v>9</v>
      </c>
      <c r="H102" s="5">
        <v>12</v>
      </c>
      <c r="I102" s="17"/>
      <c r="J102" s="3">
        <v>3</v>
      </c>
      <c r="K102" s="4">
        <v>8</v>
      </c>
      <c r="L102" s="4">
        <v>0</v>
      </c>
      <c r="M102" s="4">
        <v>13</v>
      </c>
      <c r="N102" s="4">
        <v>10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Z50"/>
  <sheetViews>
    <sheetView topLeftCell="A22" workbookViewId="0">
      <selection activeCell="D35" sqref="D35:M35"/>
    </sheetView>
  </sheetViews>
  <sheetFormatPr defaultRowHeight="15" x14ac:dyDescent="0.25"/>
  <cols>
    <col min="1" max="1" width="16.5703125" bestFit="1" customWidth="1"/>
    <col min="2" max="2" width="8.85546875" bestFit="1" customWidth="1"/>
    <col min="4" max="12" width="9.42578125" bestFit="1" customWidth="1"/>
    <col min="13" max="13" width="8.42578125" bestFit="1" customWidth="1"/>
    <col min="14" max="14" width="12.42578125" bestFit="1" customWidth="1"/>
    <col min="22" max="30" width="9.42578125" bestFit="1" customWidth="1"/>
    <col min="40" max="48" width="9.42578125" bestFit="1" customWidth="1"/>
  </cols>
  <sheetData>
    <row r="2" spans="1:20" x14ac:dyDescent="0.25">
      <c r="A2" t="s">
        <v>9</v>
      </c>
      <c r="S2" t="s">
        <v>9</v>
      </c>
    </row>
    <row r="3" spans="1:20" x14ac:dyDescent="0.25">
      <c r="A3" t="s">
        <v>13</v>
      </c>
      <c r="B3" t="s">
        <v>14</v>
      </c>
      <c r="S3" t="s">
        <v>13</v>
      </c>
      <c r="T3" t="s">
        <v>14</v>
      </c>
    </row>
    <row r="4" spans="1:20" x14ac:dyDescent="0.25">
      <c r="A4" t="s">
        <v>16</v>
      </c>
      <c r="B4" t="s">
        <v>17</v>
      </c>
      <c r="S4" t="s">
        <v>16</v>
      </c>
      <c r="T4" t="s">
        <v>17</v>
      </c>
    </row>
    <row r="5" spans="1:20" x14ac:dyDescent="0.25">
      <c r="A5" t="s">
        <v>20</v>
      </c>
      <c r="B5" t="s">
        <v>21</v>
      </c>
      <c r="S5" t="s">
        <v>20</v>
      </c>
      <c r="T5" t="s">
        <v>21</v>
      </c>
    </row>
    <row r="6" spans="1:20" x14ac:dyDescent="0.25">
      <c r="A6" t="s">
        <v>23</v>
      </c>
      <c r="B6" t="s">
        <v>24</v>
      </c>
      <c r="S6" t="s">
        <v>23</v>
      </c>
      <c r="T6" t="s">
        <v>24</v>
      </c>
    </row>
    <row r="7" spans="1:20" x14ac:dyDescent="0.25">
      <c r="A7" t="s">
        <v>26</v>
      </c>
      <c r="B7" t="s">
        <v>27</v>
      </c>
      <c r="S7" t="s">
        <v>26</v>
      </c>
      <c r="T7" t="s">
        <v>27</v>
      </c>
    </row>
    <row r="8" spans="1:20" x14ac:dyDescent="0.25">
      <c r="A8" t="s">
        <v>29</v>
      </c>
      <c r="B8" t="s">
        <v>17</v>
      </c>
      <c r="S8" t="s">
        <v>29</v>
      </c>
      <c r="T8" t="s">
        <v>17</v>
      </c>
    </row>
    <row r="9" spans="1:20" x14ac:dyDescent="0.25">
      <c r="A9" t="s">
        <v>31</v>
      </c>
      <c r="B9" t="s">
        <v>32</v>
      </c>
      <c r="S9" t="s">
        <v>31</v>
      </c>
      <c r="T9" t="s">
        <v>32</v>
      </c>
    </row>
    <row r="10" spans="1:20" x14ac:dyDescent="0.25">
      <c r="A10" t="s">
        <v>34</v>
      </c>
      <c r="B10" t="s">
        <v>17</v>
      </c>
      <c r="S10" t="s">
        <v>34</v>
      </c>
      <c r="T10" t="s">
        <v>17</v>
      </c>
    </row>
    <row r="11" spans="1:20" x14ac:dyDescent="0.25">
      <c r="A11" t="s">
        <v>36</v>
      </c>
      <c r="B11" t="s">
        <v>17</v>
      </c>
      <c r="S11" t="s">
        <v>36</v>
      </c>
      <c r="T11" t="s">
        <v>17</v>
      </c>
    </row>
    <row r="12" spans="1:20" x14ac:dyDescent="0.25">
      <c r="A12" t="s">
        <v>38</v>
      </c>
      <c r="B12" t="s">
        <v>39</v>
      </c>
      <c r="S12" t="s">
        <v>38</v>
      </c>
      <c r="T12" t="s">
        <v>39</v>
      </c>
    </row>
    <row r="13" spans="1:20" x14ac:dyDescent="0.25">
      <c r="A13" t="s">
        <v>41</v>
      </c>
      <c r="B13" t="s">
        <v>17</v>
      </c>
      <c r="S13" t="s">
        <v>41</v>
      </c>
      <c r="T13" t="s">
        <v>17</v>
      </c>
    </row>
    <row r="15" spans="1:20" x14ac:dyDescent="0.25">
      <c r="A15" s="35" t="s">
        <v>198</v>
      </c>
      <c r="B15" s="29"/>
    </row>
    <row r="16" spans="1:20" ht="75" x14ac:dyDescent="0.25">
      <c r="A16" s="33" t="s">
        <v>199</v>
      </c>
      <c r="B16" s="29"/>
    </row>
    <row r="17" spans="1:52" x14ac:dyDescent="0.25">
      <c r="A17" s="36" t="s">
        <v>200</v>
      </c>
      <c r="B17" s="29"/>
    </row>
    <row r="22" spans="1:52" x14ac:dyDescent="0.25">
      <c r="A22" s="14" t="s">
        <v>218</v>
      </c>
      <c r="B22" s="7"/>
      <c r="C22" s="7"/>
      <c r="D22" s="14" t="s">
        <v>204</v>
      </c>
      <c r="E22" s="14" t="s">
        <v>205</v>
      </c>
      <c r="F22" s="14" t="s">
        <v>206</v>
      </c>
      <c r="G22" s="14" t="s">
        <v>207</v>
      </c>
      <c r="H22" s="14" t="s">
        <v>208</v>
      </c>
      <c r="I22" s="14" t="s">
        <v>210</v>
      </c>
      <c r="J22" s="14" t="s">
        <v>211</v>
      </c>
      <c r="K22" s="14" t="s">
        <v>212</v>
      </c>
      <c r="L22" s="14" t="s">
        <v>213</v>
      </c>
      <c r="M22" s="14" t="s">
        <v>214</v>
      </c>
      <c r="S22" s="14" t="s">
        <v>219</v>
      </c>
      <c r="T22" s="7"/>
      <c r="U22" s="7"/>
      <c r="V22" s="14" t="s">
        <v>204</v>
      </c>
      <c r="W22" s="14" t="s">
        <v>205</v>
      </c>
      <c r="X22" s="14" t="s">
        <v>206</v>
      </c>
      <c r="Y22" s="14" t="s">
        <v>207</v>
      </c>
      <c r="Z22" s="14" t="s">
        <v>208</v>
      </c>
      <c r="AA22" s="14" t="s">
        <v>210</v>
      </c>
      <c r="AB22" s="14" t="s">
        <v>211</v>
      </c>
      <c r="AC22" s="14" t="s">
        <v>212</v>
      </c>
      <c r="AD22" s="14" t="s">
        <v>213</v>
      </c>
      <c r="AE22" s="14" t="s">
        <v>214</v>
      </c>
      <c r="AK22" s="14" t="s">
        <v>220</v>
      </c>
      <c r="AL22" s="7"/>
      <c r="AM22" s="7"/>
      <c r="AN22" s="14" t="s">
        <v>204</v>
      </c>
      <c r="AO22" s="14" t="s">
        <v>205</v>
      </c>
      <c r="AP22" s="14" t="s">
        <v>206</v>
      </c>
      <c r="AQ22" s="14" t="s">
        <v>207</v>
      </c>
      <c r="AR22" s="14" t="s">
        <v>208</v>
      </c>
      <c r="AS22" s="14" t="s">
        <v>210</v>
      </c>
      <c r="AT22" s="14" t="s">
        <v>211</v>
      </c>
      <c r="AU22" s="14" t="s">
        <v>212</v>
      </c>
      <c r="AV22" s="14" t="s">
        <v>213</v>
      </c>
      <c r="AW22" s="14" t="s">
        <v>214</v>
      </c>
    </row>
    <row r="23" spans="1:52" x14ac:dyDescent="0.25">
      <c r="A23" s="7" t="s">
        <v>215</v>
      </c>
      <c r="B23" s="7" t="s">
        <v>216</v>
      </c>
      <c r="C23" s="7" t="s">
        <v>8</v>
      </c>
      <c r="D23" s="8">
        <v>44277</v>
      </c>
      <c r="E23" s="8">
        <v>44278</v>
      </c>
      <c r="F23" s="8">
        <v>44279</v>
      </c>
      <c r="G23" s="8">
        <v>44280</v>
      </c>
      <c r="H23" s="8">
        <v>44281</v>
      </c>
      <c r="I23" s="8">
        <v>44283</v>
      </c>
      <c r="J23" s="8">
        <v>44284</v>
      </c>
      <c r="K23" s="8">
        <v>44285</v>
      </c>
      <c r="L23" s="8">
        <v>44286</v>
      </c>
      <c r="M23" s="8">
        <v>44287</v>
      </c>
      <c r="N23" s="37" t="s">
        <v>221</v>
      </c>
      <c r="O23" s="37" t="s">
        <v>222</v>
      </c>
      <c r="P23" t="s">
        <v>223</v>
      </c>
      <c r="S23" s="7" t="s">
        <v>215</v>
      </c>
      <c r="T23" s="7" t="s">
        <v>216</v>
      </c>
      <c r="U23" s="7" t="s">
        <v>8</v>
      </c>
      <c r="V23" s="8">
        <v>44277</v>
      </c>
      <c r="W23" s="8">
        <v>44278</v>
      </c>
      <c r="X23" s="8">
        <v>44279</v>
      </c>
      <c r="Y23" s="8">
        <v>44280</v>
      </c>
      <c r="Z23" s="8">
        <v>44281</v>
      </c>
      <c r="AA23" s="8">
        <v>44283</v>
      </c>
      <c r="AB23" s="8">
        <v>44284</v>
      </c>
      <c r="AC23" s="8">
        <v>44285</v>
      </c>
      <c r="AD23" s="8">
        <v>44286</v>
      </c>
      <c r="AE23" s="8">
        <v>44287</v>
      </c>
      <c r="AF23" s="37" t="s">
        <v>221</v>
      </c>
      <c r="AG23" s="37" t="s">
        <v>222</v>
      </c>
      <c r="AH23" t="s">
        <v>223</v>
      </c>
      <c r="AK23" s="7" t="s">
        <v>215</v>
      </c>
      <c r="AL23" s="7" t="s">
        <v>216</v>
      </c>
      <c r="AM23" s="7" t="s">
        <v>8</v>
      </c>
      <c r="AN23" s="8">
        <v>44277</v>
      </c>
      <c r="AO23" s="8">
        <v>44278</v>
      </c>
      <c r="AP23" s="8">
        <v>44279</v>
      </c>
      <c r="AQ23" s="8">
        <v>44280</v>
      </c>
      <c r="AR23" s="8">
        <v>44281</v>
      </c>
      <c r="AS23" s="8">
        <v>44283</v>
      </c>
      <c r="AT23" s="8">
        <v>44284</v>
      </c>
      <c r="AU23" s="8">
        <v>44285</v>
      </c>
      <c r="AV23" s="8">
        <v>44286</v>
      </c>
      <c r="AW23" s="8">
        <v>44287</v>
      </c>
      <c r="AX23" s="37" t="s">
        <v>221</v>
      </c>
      <c r="AY23" s="37" t="s">
        <v>222</v>
      </c>
      <c r="AZ23" t="s">
        <v>223</v>
      </c>
    </row>
    <row r="24" spans="1:52" x14ac:dyDescent="0.25">
      <c r="A24" s="10" t="s">
        <v>46</v>
      </c>
      <c r="B24" s="4">
        <v>16</v>
      </c>
      <c r="C24" s="10" t="s">
        <v>12</v>
      </c>
      <c r="D24" s="4">
        <v>8</v>
      </c>
      <c r="E24" s="4">
        <v>8</v>
      </c>
      <c r="F24" s="4">
        <v>14</v>
      </c>
      <c r="G24" s="5">
        <v>22</v>
      </c>
      <c r="H24" s="5">
        <v>18</v>
      </c>
      <c r="I24" s="3">
        <v>29</v>
      </c>
      <c r="J24" s="4">
        <v>25</v>
      </c>
      <c r="K24" s="4">
        <v>15</v>
      </c>
      <c r="L24" s="4">
        <v>20</v>
      </c>
      <c r="M24" s="4">
        <v>15</v>
      </c>
      <c r="N24">
        <f>AVERAGE(K24:M24)</f>
        <v>16.666666666666668</v>
      </c>
      <c r="O24">
        <f>AVERAGE(D24:M24)</f>
        <v>17.399999999999999</v>
      </c>
      <c r="P24" s="39">
        <v>1</v>
      </c>
      <c r="S24" s="10" t="s">
        <v>46</v>
      </c>
      <c r="T24" s="4">
        <v>16</v>
      </c>
      <c r="U24" s="10" t="s">
        <v>12</v>
      </c>
      <c r="V24" s="4">
        <v>14</v>
      </c>
      <c r="W24" s="4">
        <v>11</v>
      </c>
      <c r="X24" s="4">
        <v>18</v>
      </c>
      <c r="Y24" s="5">
        <v>28</v>
      </c>
      <c r="Z24" s="5">
        <v>27</v>
      </c>
      <c r="AA24" s="3">
        <v>34</v>
      </c>
      <c r="AB24" s="4">
        <v>27</v>
      </c>
      <c r="AC24" s="4">
        <v>17</v>
      </c>
      <c r="AD24" s="4">
        <v>22</v>
      </c>
      <c r="AE24" s="4">
        <v>16</v>
      </c>
      <c r="AF24">
        <f>AVERAGE(AC24:AE24)</f>
        <v>18.333333333333332</v>
      </c>
      <c r="AG24">
        <f>AVERAGE(V24:AE24)</f>
        <v>21.4</v>
      </c>
      <c r="AH24" s="39">
        <v>1</v>
      </c>
      <c r="AK24" s="10" t="s">
        <v>46</v>
      </c>
      <c r="AL24" s="4">
        <v>16</v>
      </c>
      <c r="AM24" s="10" t="s">
        <v>12</v>
      </c>
      <c r="AN24" s="4">
        <v>8</v>
      </c>
      <c r="AO24" s="4">
        <v>0</v>
      </c>
      <c r="AP24" s="4">
        <v>2</v>
      </c>
      <c r="AQ24" s="5">
        <v>9</v>
      </c>
      <c r="AR24" s="5">
        <v>12</v>
      </c>
      <c r="AS24" s="4">
        <v>3</v>
      </c>
      <c r="AT24" s="4">
        <v>8</v>
      </c>
      <c r="AU24" s="4">
        <v>0</v>
      </c>
      <c r="AV24" s="4">
        <v>13</v>
      </c>
      <c r="AW24" s="4">
        <v>10</v>
      </c>
      <c r="AX24">
        <f>AVERAGE(AU24:AW24)</f>
        <v>7.666666666666667</v>
      </c>
      <c r="AY24">
        <f>AVERAGE(AN24:AW24)</f>
        <v>6.5</v>
      </c>
      <c r="AZ24" s="39">
        <v>1</v>
      </c>
    </row>
    <row r="25" spans="1:52" x14ac:dyDescent="0.25">
      <c r="A25" s="10" t="s">
        <v>42</v>
      </c>
      <c r="B25" s="4">
        <v>12</v>
      </c>
      <c r="C25" s="10" t="s">
        <v>12</v>
      </c>
      <c r="D25" s="4">
        <v>19</v>
      </c>
      <c r="E25" s="4">
        <v>22</v>
      </c>
      <c r="F25" s="4">
        <v>25</v>
      </c>
      <c r="G25" s="5">
        <v>18</v>
      </c>
      <c r="H25" s="5">
        <v>19</v>
      </c>
      <c r="I25" s="3">
        <v>18</v>
      </c>
      <c r="J25" s="4">
        <v>16</v>
      </c>
      <c r="K25" s="4">
        <v>20</v>
      </c>
      <c r="L25" s="4">
        <v>17</v>
      </c>
      <c r="M25" s="30">
        <v>21</v>
      </c>
      <c r="N25">
        <f>AVERAGE(K25:M25)</f>
        <v>19.333333333333332</v>
      </c>
      <c r="O25">
        <f>AVERAGE(D25:M25)</f>
        <v>19.5</v>
      </c>
      <c r="P25" s="39">
        <v>1</v>
      </c>
      <c r="S25" s="10" t="s">
        <v>42</v>
      </c>
      <c r="T25" s="4">
        <v>12</v>
      </c>
      <c r="U25" s="10" t="s">
        <v>12</v>
      </c>
      <c r="V25" s="4">
        <v>50</v>
      </c>
      <c r="W25" s="4">
        <v>45</v>
      </c>
      <c r="X25" s="4">
        <v>34</v>
      </c>
      <c r="Y25" s="5">
        <v>23</v>
      </c>
      <c r="Z25" s="5">
        <v>27</v>
      </c>
      <c r="AA25" s="3">
        <v>23</v>
      </c>
      <c r="AB25" s="4">
        <v>23</v>
      </c>
      <c r="AC25" s="4">
        <v>24</v>
      </c>
      <c r="AD25" s="4">
        <v>24</v>
      </c>
      <c r="AE25" s="30">
        <v>33</v>
      </c>
      <c r="AF25">
        <f>AVERAGE(AC25:AE25)</f>
        <v>27</v>
      </c>
      <c r="AG25">
        <f>AVERAGE(V25:AE25)</f>
        <v>30.6</v>
      </c>
      <c r="AH25" s="39">
        <v>1</v>
      </c>
      <c r="AK25" s="10" t="s">
        <v>42</v>
      </c>
      <c r="AL25" s="4">
        <v>12</v>
      </c>
      <c r="AM25" s="10" t="s">
        <v>12</v>
      </c>
      <c r="AN25" s="4">
        <v>44</v>
      </c>
      <c r="AO25" s="4">
        <v>12</v>
      </c>
      <c r="AP25" s="4">
        <v>24</v>
      </c>
      <c r="AQ25" s="5">
        <v>4</v>
      </c>
      <c r="AR25" s="5">
        <v>10</v>
      </c>
      <c r="AS25" s="4">
        <v>13</v>
      </c>
      <c r="AT25" s="4">
        <v>13</v>
      </c>
      <c r="AU25" s="4">
        <v>8</v>
      </c>
      <c r="AV25" s="4">
        <v>14</v>
      </c>
      <c r="AW25" s="30">
        <v>6</v>
      </c>
      <c r="AX25">
        <f>AVERAGE(AU25:AW25)</f>
        <v>9.3333333333333339</v>
      </c>
      <c r="AY25">
        <f>AVERAGE(AN25:AW25)</f>
        <v>14.8</v>
      </c>
      <c r="AZ25" s="39">
        <v>1</v>
      </c>
    </row>
    <row r="26" spans="1:52" x14ac:dyDescent="0.25">
      <c r="A26" s="10" t="s">
        <v>40</v>
      </c>
      <c r="B26" s="4">
        <v>11</v>
      </c>
      <c r="C26" s="10" t="s">
        <v>12</v>
      </c>
      <c r="D26" s="4">
        <v>30</v>
      </c>
      <c r="E26" s="4">
        <v>56</v>
      </c>
      <c r="F26" s="4">
        <v>40</v>
      </c>
      <c r="G26" s="5">
        <v>54</v>
      </c>
      <c r="H26" s="5">
        <v>52</v>
      </c>
      <c r="I26" s="3">
        <v>31</v>
      </c>
      <c r="J26" s="4">
        <v>37</v>
      </c>
      <c r="K26" s="4">
        <v>23</v>
      </c>
      <c r="L26" s="4">
        <v>32</v>
      </c>
      <c r="M26" s="4">
        <v>21</v>
      </c>
      <c r="N26">
        <f>AVERAGE(K26:M26)</f>
        <v>25.333333333333332</v>
      </c>
      <c r="O26">
        <f>AVERAGE(D26:M26)</f>
        <v>37.6</v>
      </c>
      <c r="P26" s="39">
        <v>1</v>
      </c>
      <c r="S26" s="10" t="s">
        <v>40</v>
      </c>
      <c r="T26" s="4">
        <v>11</v>
      </c>
      <c r="U26" s="10" t="s">
        <v>12</v>
      </c>
      <c r="V26" s="4">
        <v>54</v>
      </c>
      <c r="W26" s="4">
        <v>175</v>
      </c>
      <c r="X26" s="4">
        <v>88</v>
      </c>
      <c r="Y26" s="5">
        <v>157</v>
      </c>
      <c r="Z26" s="5">
        <v>147</v>
      </c>
      <c r="AA26" s="3">
        <v>79</v>
      </c>
      <c r="AB26" s="4">
        <v>60</v>
      </c>
      <c r="AC26" s="4">
        <v>35</v>
      </c>
      <c r="AD26" s="4">
        <v>56</v>
      </c>
      <c r="AE26" s="4">
        <v>34</v>
      </c>
      <c r="AF26">
        <f>AVERAGE(AC26:AE26)</f>
        <v>41.666666666666664</v>
      </c>
      <c r="AG26">
        <f>AVERAGE(V26:AE26)</f>
        <v>88.5</v>
      </c>
      <c r="AH26" s="39">
        <v>1</v>
      </c>
      <c r="AK26" s="10" t="s">
        <v>40</v>
      </c>
      <c r="AL26" s="4">
        <v>11</v>
      </c>
      <c r="AM26" s="10" t="s">
        <v>12</v>
      </c>
      <c r="AN26" s="4">
        <v>4</v>
      </c>
      <c r="AO26" s="4">
        <v>12</v>
      </c>
      <c r="AP26" s="4">
        <v>10</v>
      </c>
      <c r="AQ26" s="5">
        <v>10</v>
      </c>
      <c r="AR26" s="5">
        <v>35</v>
      </c>
      <c r="AS26" s="4">
        <v>7</v>
      </c>
      <c r="AT26" s="7">
        <v>6</v>
      </c>
      <c r="AU26" s="4">
        <v>15</v>
      </c>
      <c r="AV26" s="4">
        <v>15</v>
      </c>
      <c r="AW26" s="4">
        <v>35</v>
      </c>
      <c r="AX26">
        <f>AVERAGE(AU26:AW26)</f>
        <v>21.666666666666668</v>
      </c>
      <c r="AY26">
        <f>AVERAGE(AN26:AW26)</f>
        <v>14.9</v>
      </c>
      <c r="AZ26" s="39">
        <v>1</v>
      </c>
    </row>
    <row r="27" spans="1:52" x14ac:dyDescent="0.25">
      <c r="A27" s="10" t="s">
        <v>28</v>
      </c>
      <c r="B27" s="4">
        <v>6</v>
      </c>
      <c r="C27" s="10" t="s">
        <v>12</v>
      </c>
      <c r="D27" s="4">
        <v>25</v>
      </c>
      <c r="E27" s="4">
        <v>37</v>
      </c>
      <c r="F27" s="4">
        <v>52</v>
      </c>
      <c r="G27" s="5">
        <v>61</v>
      </c>
      <c r="H27" s="5">
        <v>58</v>
      </c>
      <c r="I27" s="40">
        <v>34</v>
      </c>
      <c r="J27" s="4">
        <v>60</v>
      </c>
      <c r="K27" s="4">
        <v>18</v>
      </c>
      <c r="L27" s="4">
        <v>65</v>
      </c>
      <c r="M27" s="30">
        <v>52</v>
      </c>
      <c r="N27">
        <f>AVERAGE(K27:M27)</f>
        <v>45</v>
      </c>
      <c r="O27">
        <f>AVERAGE(D27:M27)</f>
        <v>46.2</v>
      </c>
      <c r="P27" s="39">
        <v>1</v>
      </c>
      <c r="S27" s="10" t="s">
        <v>28</v>
      </c>
      <c r="T27" s="4">
        <v>6</v>
      </c>
      <c r="U27" s="10" t="s">
        <v>12</v>
      </c>
      <c r="V27" s="4">
        <v>70</v>
      </c>
      <c r="W27" s="4">
        <v>198</v>
      </c>
      <c r="X27" s="4">
        <v>101</v>
      </c>
      <c r="Y27" s="5">
        <v>153</v>
      </c>
      <c r="Z27" s="5">
        <v>106</v>
      </c>
      <c r="AA27" s="40">
        <v>80</v>
      </c>
      <c r="AB27" s="4">
        <v>151</v>
      </c>
      <c r="AC27" s="4">
        <v>29</v>
      </c>
      <c r="AD27" s="4">
        <v>143</v>
      </c>
      <c r="AE27" s="30">
        <v>126</v>
      </c>
      <c r="AF27">
        <f>AVERAGE(AC27:AE27)</f>
        <v>99.333333333333329</v>
      </c>
      <c r="AG27">
        <f>AVERAGE(V27:AE27)</f>
        <v>115.7</v>
      </c>
      <c r="AH27" s="39">
        <v>1</v>
      </c>
      <c r="AK27" s="10" t="s">
        <v>28</v>
      </c>
      <c r="AL27" s="4">
        <v>6</v>
      </c>
      <c r="AM27" s="10" t="s">
        <v>12</v>
      </c>
      <c r="AN27" s="4">
        <v>12</v>
      </c>
      <c r="AO27" s="4">
        <v>24</v>
      </c>
      <c r="AP27" s="4">
        <v>112</v>
      </c>
      <c r="AQ27" s="5">
        <v>139</v>
      </c>
      <c r="AR27" s="5">
        <v>215</v>
      </c>
      <c r="AS27" s="38">
        <v>54</v>
      </c>
      <c r="AT27" s="4">
        <v>1296</v>
      </c>
      <c r="AU27" s="4">
        <v>36</v>
      </c>
      <c r="AV27" s="4">
        <v>433</v>
      </c>
      <c r="AW27" s="30">
        <v>21</v>
      </c>
      <c r="AX27">
        <f>AVERAGE(AU27:AW27)</f>
        <v>163.33333333333334</v>
      </c>
      <c r="AY27">
        <f>AVERAGE(AN27:AW27)</f>
        <v>234.2</v>
      </c>
      <c r="AZ27" s="39">
        <v>1</v>
      </c>
    </row>
    <row r="28" spans="1:52" x14ac:dyDescent="0.25">
      <c r="A28" s="10" t="s">
        <v>30</v>
      </c>
      <c r="B28" s="4">
        <v>7</v>
      </c>
      <c r="C28" s="10" t="s">
        <v>12</v>
      </c>
      <c r="D28" s="4">
        <v>5</v>
      </c>
      <c r="E28" s="4">
        <v>10</v>
      </c>
      <c r="F28" s="4">
        <v>18</v>
      </c>
      <c r="G28" s="5">
        <v>22</v>
      </c>
      <c r="H28" s="5">
        <v>71</v>
      </c>
      <c r="I28" s="20">
        <v>75</v>
      </c>
      <c r="J28" s="4">
        <v>58</v>
      </c>
      <c r="K28" s="4">
        <v>63</v>
      </c>
      <c r="L28" s="4">
        <v>75</v>
      </c>
      <c r="M28" s="4">
        <v>46</v>
      </c>
      <c r="N28">
        <f>AVERAGE(K28:M28)</f>
        <v>61.333333333333336</v>
      </c>
      <c r="O28">
        <f>AVERAGE(D28:M28)</f>
        <v>44.3</v>
      </c>
      <c r="P28" s="39">
        <v>1</v>
      </c>
      <c r="S28" s="10" t="s">
        <v>30</v>
      </c>
      <c r="T28" s="4">
        <v>7</v>
      </c>
      <c r="U28" s="10" t="s">
        <v>12</v>
      </c>
      <c r="V28" s="4">
        <v>7</v>
      </c>
      <c r="W28" s="4">
        <v>16</v>
      </c>
      <c r="X28" s="4">
        <v>43</v>
      </c>
      <c r="Y28" s="5">
        <v>54</v>
      </c>
      <c r="Z28" s="5">
        <v>181</v>
      </c>
      <c r="AA28" s="20">
        <v>269</v>
      </c>
      <c r="AB28" s="4">
        <v>326</v>
      </c>
      <c r="AC28" s="4">
        <v>431</v>
      </c>
      <c r="AD28" s="4">
        <v>356</v>
      </c>
      <c r="AE28" s="4">
        <v>189</v>
      </c>
      <c r="AF28">
        <f>AVERAGE(AC28:AE28)</f>
        <v>325.33333333333331</v>
      </c>
      <c r="AG28">
        <f>AVERAGE(V28:AE28)</f>
        <v>187.2</v>
      </c>
      <c r="AH28" s="39">
        <v>1</v>
      </c>
      <c r="AK28" s="10" t="s">
        <v>30</v>
      </c>
      <c r="AL28" s="4">
        <v>7</v>
      </c>
      <c r="AM28" s="10" t="s">
        <v>12</v>
      </c>
      <c r="AN28" s="4">
        <v>7</v>
      </c>
      <c r="AO28" s="4">
        <v>1</v>
      </c>
      <c r="AP28" s="4">
        <v>11</v>
      </c>
      <c r="AQ28" s="5">
        <v>9</v>
      </c>
      <c r="AR28" s="5">
        <v>156</v>
      </c>
      <c r="AS28" s="4">
        <v>1</v>
      </c>
      <c r="AT28" s="4">
        <v>5</v>
      </c>
      <c r="AU28" s="4">
        <v>3</v>
      </c>
      <c r="AV28" s="4">
        <v>7</v>
      </c>
      <c r="AW28" s="4">
        <v>1</v>
      </c>
      <c r="AX28">
        <f>AVERAGE(AU28:AW28)</f>
        <v>3.6666666666666665</v>
      </c>
      <c r="AY28">
        <f>AVERAGE(AN28:AW28)</f>
        <v>20.100000000000001</v>
      </c>
      <c r="AZ28" s="39">
        <v>1</v>
      </c>
    </row>
    <row r="29" spans="1:52" x14ac:dyDescent="0.25">
      <c r="M29" s="37" t="s">
        <v>224</v>
      </c>
      <c r="N29">
        <f>AVERAGE(N24:N28)</f>
        <v>33.533333333333331</v>
      </c>
      <c r="O29">
        <f>AVERAGE(O24:O28)</f>
        <v>33</v>
      </c>
      <c r="AE29" s="37" t="s">
        <v>224</v>
      </c>
      <c r="AF29">
        <f>AVERAGE(AF24:AF28)</f>
        <v>102.33333333333333</v>
      </c>
      <c r="AG29">
        <f>AVERAGE(AG24:AG28)</f>
        <v>88.679999999999993</v>
      </c>
      <c r="AW29" s="37" t="s">
        <v>224</v>
      </c>
      <c r="AX29">
        <f>AVERAGE(AX24:AX28)</f>
        <v>41.133333333333333</v>
      </c>
      <c r="AY29">
        <f>AVERAGE(AY24:AY28)</f>
        <v>58.1</v>
      </c>
    </row>
    <row r="32" spans="1:52" x14ac:dyDescent="0.25">
      <c r="A32" s="10" t="s">
        <v>15</v>
      </c>
      <c r="B32" s="4">
        <v>2</v>
      </c>
      <c r="C32" s="10" t="s">
        <v>12</v>
      </c>
      <c r="D32" s="4">
        <v>8</v>
      </c>
      <c r="E32" s="4">
        <v>13</v>
      </c>
      <c r="F32" s="4">
        <v>11</v>
      </c>
      <c r="G32" s="5">
        <v>9</v>
      </c>
      <c r="H32" s="5">
        <v>7</v>
      </c>
      <c r="I32" s="4">
        <v>7</v>
      </c>
      <c r="J32" s="3">
        <v>14</v>
      </c>
      <c r="K32" s="4">
        <v>5</v>
      </c>
      <c r="L32" s="4">
        <v>6</v>
      </c>
      <c r="M32" s="30">
        <v>8</v>
      </c>
      <c r="N32">
        <f>AVERAGE(K32:M32)</f>
        <v>6.333333333333333</v>
      </c>
      <c r="O32">
        <f>AVERAGE(D32:M32)</f>
        <v>8.8000000000000007</v>
      </c>
      <c r="P32" s="39">
        <v>30</v>
      </c>
      <c r="S32" s="10" t="s">
        <v>15</v>
      </c>
      <c r="T32" s="4">
        <v>2</v>
      </c>
      <c r="U32" s="10" t="s">
        <v>12</v>
      </c>
      <c r="V32" s="4">
        <v>12</v>
      </c>
      <c r="W32" s="4">
        <v>30</v>
      </c>
      <c r="X32" s="4">
        <v>26</v>
      </c>
      <c r="Y32" s="5">
        <v>10</v>
      </c>
      <c r="Z32" s="5">
        <v>8</v>
      </c>
      <c r="AA32" s="4">
        <v>9</v>
      </c>
      <c r="AB32" s="3">
        <v>18</v>
      </c>
      <c r="AC32" s="4">
        <v>8</v>
      </c>
      <c r="AD32" s="4">
        <v>11</v>
      </c>
      <c r="AE32" s="30">
        <v>12</v>
      </c>
      <c r="AF32">
        <f>AVERAGE(AC32:AE32)</f>
        <v>10.333333333333334</v>
      </c>
      <c r="AG32">
        <f>AVERAGE(V32:AE32)</f>
        <v>14.4</v>
      </c>
      <c r="AH32" s="39">
        <v>30</v>
      </c>
      <c r="AK32" s="10" t="s">
        <v>15</v>
      </c>
      <c r="AL32" s="4">
        <v>2</v>
      </c>
      <c r="AM32" s="10" t="s">
        <v>12</v>
      </c>
      <c r="AN32" s="4">
        <v>15</v>
      </c>
      <c r="AO32" s="4">
        <v>19</v>
      </c>
      <c r="AP32" s="4">
        <v>11</v>
      </c>
      <c r="AQ32" s="5">
        <v>8</v>
      </c>
      <c r="AR32" s="5">
        <v>12</v>
      </c>
      <c r="AS32" s="4">
        <v>7</v>
      </c>
      <c r="AT32" s="4">
        <v>3</v>
      </c>
      <c r="AU32" s="4">
        <v>13</v>
      </c>
      <c r="AV32" s="4">
        <v>6</v>
      </c>
      <c r="AW32" s="30">
        <v>20</v>
      </c>
      <c r="AX32">
        <f>AVERAGE(AU32:AW32)</f>
        <v>13</v>
      </c>
      <c r="AY32">
        <f>AVERAGE(AN32:AW32)</f>
        <v>11.4</v>
      </c>
      <c r="AZ32" s="39">
        <v>30</v>
      </c>
    </row>
    <row r="33" spans="1:52" x14ac:dyDescent="0.25">
      <c r="A33" s="10" t="s">
        <v>37</v>
      </c>
      <c r="B33" s="4">
        <v>10</v>
      </c>
      <c r="C33" s="10" t="s">
        <v>12</v>
      </c>
      <c r="D33" s="4">
        <v>13</v>
      </c>
      <c r="E33" s="4">
        <v>17</v>
      </c>
      <c r="F33" s="4">
        <v>13</v>
      </c>
      <c r="G33" s="5">
        <v>13</v>
      </c>
      <c r="H33" s="5">
        <v>13</v>
      </c>
      <c r="I33" s="3">
        <v>11</v>
      </c>
      <c r="J33" s="4">
        <v>11</v>
      </c>
      <c r="K33" s="4">
        <v>9</v>
      </c>
      <c r="L33" s="4">
        <v>8</v>
      </c>
      <c r="M33" s="4">
        <v>11</v>
      </c>
      <c r="N33">
        <f>AVERAGE(K33:M33)</f>
        <v>9.3333333333333339</v>
      </c>
      <c r="O33">
        <f>AVERAGE(D33:M33)</f>
        <v>11.9</v>
      </c>
      <c r="P33" s="39">
        <v>30</v>
      </c>
      <c r="S33" s="10" t="s">
        <v>37</v>
      </c>
      <c r="T33" s="4">
        <v>10</v>
      </c>
      <c r="U33" s="10" t="s">
        <v>12</v>
      </c>
      <c r="V33" s="4">
        <v>20</v>
      </c>
      <c r="W33" s="4">
        <v>20</v>
      </c>
      <c r="X33" s="4">
        <v>17</v>
      </c>
      <c r="Y33" s="5">
        <v>26</v>
      </c>
      <c r="Z33" s="5">
        <v>20</v>
      </c>
      <c r="AA33" s="3">
        <v>16</v>
      </c>
      <c r="AB33" s="4">
        <v>11</v>
      </c>
      <c r="AC33" s="4">
        <v>11</v>
      </c>
      <c r="AD33" s="4">
        <v>15</v>
      </c>
      <c r="AE33" s="4">
        <v>16</v>
      </c>
      <c r="AF33">
        <f>AVERAGE(AC33:AE33)</f>
        <v>14</v>
      </c>
      <c r="AG33">
        <f>AVERAGE(V33:AE33)</f>
        <v>17.2</v>
      </c>
      <c r="AH33" s="39">
        <v>30</v>
      </c>
      <c r="AK33" s="10" t="s">
        <v>37</v>
      </c>
      <c r="AL33" s="4">
        <v>10</v>
      </c>
      <c r="AM33" s="10" t="s">
        <v>12</v>
      </c>
      <c r="AN33" s="4">
        <v>15</v>
      </c>
      <c r="AO33" s="4">
        <v>21</v>
      </c>
      <c r="AP33" s="4">
        <v>2</v>
      </c>
      <c r="AQ33" s="5">
        <v>5</v>
      </c>
      <c r="AR33" s="5">
        <v>6</v>
      </c>
      <c r="AS33" s="3">
        <v>7</v>
      </c>
      <c r="AT33" s="3">
        <v>0</v>
      </c>
      <c r="AU33" s="4">
        <v>8</v>
      </c>
      <c r="AV33" s="4">
        <v>5</v>
      </c>
      <c r="AW33" s="4">
        <v>5</v>
      </c>
      <c r="AX33">
        <f>AVERAGE(AU33:AW33)</f>
        <v>6</v>
      </c>
      <c r="AY33">
        <f>AVERAGE(AN33:AW33)</f>
        <v>7.4</v>
      </c>
      <c r="AZ33" s="39">
        <v>30</v>
      </c>
    </row>
    <row r="34" spans="1:52" x14ac:dyDescent="0.25">
      <c r="A34" s="10" t="s">
        <v>10</v>
      </c>
      <c r="B34" s="4">
        <v>1</v>
      </c>
      <c r="C34" s="10" t="s">
        <v>12</v>
      </c>
      <c r="D34" s="4">
        <v>20</v>
      </c>
      <c r="E34" s="4">
        <v>27</v>
      </c>
      <c r="F34" s="4">
        <v>26</v>
      </c>
      <c r="G34" s="4">
        <v>25</v>
      </c>
      <c r="H34" s="4">
        <v>30</v>
      </c>
      <c r="I34" s="4">
        <v>31</v>
      </c>
      <c r="J34" s="4">
        <v>32</v>
      </c>
      <c r="K34" s="30">
        <v>26</v>
      </c>
      <c r="L34" s="4">
        <v>29</v>
      </c>
      <c r="M34" s="4">
        <v>24</v>
      </c>
      <c r="N34">
        <f>AVERAGE(K34:M34)</f>
        <v>26.333333333333332</v>
      </c>
      <c r="O34">
        <f>AVERAGE(D34:M34)</f>
        <v>27</v>
      </c>
      <c r="P34" s="39">
        <v>30</v>
      </c>
      <c r="S34" s="10" t="s">
        <v>10</v>
      </c>
      <c r="T34" s="4">
        <v>1</v>
      </c>
      <c r="U34" s="10" t="s">
        <v>12</v>
      </c>
      <c r="V34" s="4">
        <v>30</v>
      </c>
      <c r="W34" s="4">
        <v>58</v>
      </c>
      <c r="X34" s="4">
        <v>44</v>
      </c>
      <c r="Y34" s="4">
        <v>40</v>
      </c>
      <c r="Z34" s="4">
        <v>49</v>
      </c>
      <c r="AA34" s="4">
        <v>44</v>
      </c>
      <c r="AB34" s="4">
        <v>40</v>
      </c>
      <c r="AC34" s="30">
        <v>34</v>
      </c>
      <c r="AD34" s="4">
        <v>36</v>
      </c>
      <c r="AE34" s="4">
        <v>28</v>
      </c>
      <c r="AF34">
        <f>AVERAGE(AC34:AE34)</f>
        <v>32.666666666666664</v>
      </c>
      <c r="AG34">
        <f>AVERAGE(V34:AE34)</f>
        <v>40.299999999999997</v>
      </c>
      <c r="AH34" s="39">
        <v>30</v>
      </c>
      <c r="AK34" s="10" t="s">
        <v>10</v>
      </c>
      <c r="AL34" s="4">
        <v>1</v>
      </c>
      <c r="AM34" s="10" t="s">
        <v>12</v>
      </c>
      <c r="AN34" s="4">
        <v>10</v>
      </c>
      <c r="AO34" s="4">
        <v>8</v>
      </c>
      <c r="AP34" s="4">
        <v>7</v>
      </c>
      <c r="AQ34" s="4">
        <v>4</v>
      </c>
      <c r="AR34" s="4">
        <v>4</v>
      </c>
      <c r="AS34" s="4">
        <v>13</v>
      </c>
      <c r="AT34" s="4">
        <v>4</v>
      </c>
      <c r="AU34" s="30">
        <v>7</v>
      </c>
      <c r="AV34" s="4">
        <v>8</v>
      </c>
      <c r="AW34" s="4">
        <v>3</v>
      </c>
      <c r="AX34">
        <f>AVERAGE(AU34:AW34)</f>
        <v>6</v>
      </c>
      <c r="AY34">
        <f>AVERAGE(AN34:AW34)</f>
        <v>6.8</v>
      </c>
      <c r="AZ34" s="39">
        <v>30</v>
      </c>
    </row>
    <row r="35" spans="1:52" x14ac:dyDescent="0.25">
      <c r="A35" s="10" t="s">
        <v>45</v>
      </c>
      <c r="B35" s="4">
        <v>15</v>
      </c>
      <c r="C35" s="10" t="s">
        <v>12</v>
      </c>
      <c r="D35" s="4">
        <v>44</v>
      </c>
      <c r="E35" s="4">
        <v>75</v>
      </c>
      <c r="F35" s="4">
        <v>75</v>
      </c>
      <c r="G35" s="5">
        <v>75</v>
      </c>
      <c r="H35" s="5">
        <v>72</v>
      </c>
      <c r="I35" s="3">
        <v>30</v>
      </c>
      <c r="J35" s="4">
        <v>57</v>
      </c>
      <c r="K35" s="4">
        <v>70</v>
      </c>
      <c r="L35" s="4">
        <v>45</v>
      </c>
      <c r="M35" s="4">
        <v>27</v>
      </c>
      <c r="N35">
        <f>AVERAGE(K35:M35)</f>
        <v>47.333333333333336</v>
      </c>
      <c r="O35">
        <f>AVERAGE(D35:M35)</f>
        <v>57</v>
      </c>
      <c r="P35" s="39">
        <v>30</v>
      </c>
      <c r="S35" s="10" t="s">
        <v>45</v>
      </c>
      <c r="T35" s="4">
        <v>15</v>
      </c>
      <c r="U35" s="10" t="s">
        <v>12</v>
      </c>
      <c r="V35" s="4">
        <v>133</v>
      </c>
      <c r="W35" s="4">
        <v>500</v>
      </c>
      <c r="X35" s="4">
        <v>680</v>
      </c>
      <c r="Y35" s="5">
        <v>466</v>
      </c>
      <c r="Z35" s="5">
        <v>189</v>
      </c>
      <c r="AA35" s="3">
        <v>99</v>
      </c>
      <c r="AB35" s="4">
        <v>191</v>
      </c>
      <c r="AC35" s="4">
        <v>232</v>
      </c>
      <c r="AD35" s="4">
        <v>85</v>
      </c>
      <c r="AE35" s="4">
        <v>51</v>
      </c>
      <c r="AF35">
        <f>AVERAGE(AC35:AE35)</f>
        <v>122.66666666666667</v>
      </c>
      <c r="AG35">
        <f>AVERAGE(V35:AE35)</f>
        <v>262.60000000000002</v>
      </c>
      <c r="AH35" s="39">
        <v>30</v>
      </c>
      <c r="AK35" s="10" t="s">
        <v>45</v>
      </c>
      <c r="AL35" s="4">
        <v>15</v>
      </c>
      <c r="AM35" s="10" t="s">
        <v>12</v>
      </c>
      <c r="AN35" s="4">
        <v>10</v>
      </c>
      <c r="AO35" s="4">
        <v>46</v>
      </c>
      <c r="AP35" s="4">
        <v>20</v>
      </c>
      <c r="AQ35" s="5">
        <v>55</v>
      </c>
      <c r="AR35" s="5">
        <v>30</v>
      </c>
      <c r="AS35" s="3">
        <v>244</v>
      </c>
      <c r="AT35" s="4">
        <v>23</v>
      </c>
      <c r="AU35" s="4">
        <v>11</v>
      </c>
      <c r="AV35" s="4">
        <v>4</v>
      </c>
      <c r="AW35" s="4">
        <v>3</v>
      </c>
      <c r="AX35">
        <f>AVERAGE(AU35:AW35)</f>
        <v>6</v>
      </c>
      <c r="AY35">
        <f>AVERAGE(AN35:AW35)</f>
        <v>44.6</v>
      </c>
      <c r="AZ35" s="39">
        <v>30</v>
      </c>
    </row>
    <row r="36" spans="1:52" x14ac:dyDescent="0.25">
      <c r="A36" s="10" t="s">
        <v>25</v>
      </c>
      <c r="B36" s="4">
        <v>5</v>
      </c>
      <c r="C36" s="10" t="s">
        <v>12</v>
      </c>
      <c r="D36" s="4">
        <v>33</v>
      </c>
      <c r="E36" s="4">
        <v>75</v>
      </c>
      <c r="F36" s="4">
        <v>75</v>
      </c>
      <c r="G36" s="5">
        <v>56</v>
      </c>
      <c r="H36" s="5">
        <v>75</v>
      </c>
      <c r="I36" s="3">
        <v>75</v>
      </c>
      <c r="J36" s="4">
        <v>75</v>
      </c>
      <c r="K36" s="4">
        <v>75</v>
      </c>
      <c r="L36" s="4">
        <v>75</v>
      </c>
      <c r="M36" s="4">
        <v>60</v>
      </c>
      <c r="N36">
        <f>AVERAGE(K36:M36)</f>
        <v>70</v>
      </c>
      <c r="O36">
        <f>AVERAGE(D36:M36)</f>
        <v>67.400000000000006</v>
      </c>
      <c r="P36" s="39">
        <v>30</v>
      </c>
      <c r="S36" s="10" t="s">
        <v>25</v>
      </c>
      <c r="T36" s="4">
        <v>5</v>
      </c>
      <c r="U36" s="10" t="s">
        <v>12</v>
      </c>
      <c r="V36" s="4">
        <v>86</v>
      </c>
      <c r="W36" s="4">
        <v>442</v>
      </c>
      <c r="X36" s="4">
        <v>417</v>
      </c>
      <c r="Y36" s="5">
        <v>199</v>
      </c>
      <c r="Z36" s="5">
        <v>328</v>
      </c>
      <c r="AA36" s="3">
        <v>722</v>
      </c>
      <c r="AB36" s="4">
        <v>390</v>
      </c>
      <c r="AC36" s="4">
        <v>469</v>
      </c>
      <c r="AD36" s="4">
        <v>351</v>
      </c>
      <c r="AE36" s="4">
        <v>268</v>
      </c>
      <c r="AF36">
        <f>AVERAGE(AC36:AE36)</f>
        <v>362.66666666666669</v>
      </c>
      <c r="AG36">
        <f>AVERAGE(V36:AE36)</f>
        <v>367.2</v>
      </c>
      <c r="AH36" s="39">
        <v>30</v>
      </c>
      <c r="AK36" s="10" t="s">
        <v>25</v>
      </c>
      <c r="AL36" s="4">
        <v>5</v>
      </c>
      <c r="AM36" s="10" t="s">
        <v>12</v>
      </c>
      <c r="AN36" s="4">
        <v>11</v>
      </c>
      <c r="AO36" s="4">
        <v>12</v>
      </c>
      <c r="AP36" s="4">
        <v>1</v>
      </c>
      <c r="AQ36" s="5">
        <v>1</v>
      </c>
      <c r="AR36" s="5">
        <v>15</v>
      </c>
      <c r="AS36" s="3">
        <v>69</v>
      </c>
      <c r="AT36" s="4">
        <v>31</v>
      </c>
      <c r="AU36" s="4">
        <v>1</v>
      </c>
      <c r="AV36" s="4">
        <v>27</v>
      </c>
      <c r="AW36" s="4">
        <v>5</v>
      </c>
      <c r="AX36">
        <f>AVERAGE(AU36:AW36)</f>
        <v>11</v>
      </c>
      <c r="AY36">
        <f>AVERAGE(AN36:AW36)</f>
        <v>17.3</v>
      </c>
      <c r="AZ36" s="39">
        <v>30</v>
      </c>
    </row>
    <row r="37" spans="1:52" x14ac:dyDescent="0.25">
      <c r="M37" s="37" t="s">
        <v>224</v>
      </c>
      <c r="N37">
        <f>AVERAGE(N32:N36)</f>
        <v>31.866666666666667</v>
      </c>
      <c r="O37">
        <f>AVERAGE(O32:O36)</f>
        <v>34.42</v>
      </c>
      <c r="AE37" s="37" t="s">
        <v>224</v>
      </c>
      <c r="AF37">
        <f>AVERAGE(AF32:AF36)</f>
        <v>108.46666666666667</v>
      </c>
      <c r="AG37">
        <f>AVERAGE(AG32:AG36)</f>
        <v>140.34</v>
      </c>
      <c r="AW37" s="37" t="s">
        <v>224</v>
      </c>
      <c r="AX37">
        <f>AVERAGE(AX32:AX36)</f>
        <v>8.4</v>
      </c>
      <c r="AY37">
        <f>AVERAGE(AY32:AY36)</f>
        <v>17.5</v>
      </c>
    </row>
    <row r="40" spans="1:52" x14ac:dyDescent="0.25">
      <c r="A40" s="10" t="s">
        <v>44</v>
      </c>
      <c r="B40" s="4">
        <v>14</v>
      </c>
      <c r="C40" s="10" t="s">
        <v>12</v>
      </c>
      <c r="D40" s="4">
        <v>8</v>
      </c>
      <c r="E40" s="4">
        <v>32</v>
      </c>
      <c r="F40" s="4">
        <v>17</v>
      </c>
      <c r="G40" s="5">
        <v>22</v>
      </c>
      <c r="H40" s="5">
        <v>35</v>
      </c>
      <c r="I40" s="3">
        <v>39</v>
      </c>
      <c r="J40" s="4">
        <v>27</v>
      </c>
      <c r="K40" s="4">
        <v>35</v>
      </c>
      <c r="L40" s="4">
        <v>44</v>
      </c>
      <c r="M40" s="4">
        <v>49</v>
      </c>
      <c r="N40">
        <f>AVERAGE(K40:M40)</f>
        <v>42.666666666666664</v>
      </c>
      <c r="O40">
        <f>AVERAGE(D40:M40)</f>
        <v>30.8</v>
      </c>
      <c r="P40" s="39" t="s">
        <v>225</v>
      </c>
      <c r="S40" s="10" t="s">
        <v>44</v>
      </c>
      <c r="T40" s="4">
        <v>14</v>
      </c>
      <c r="U40" s="10" t="s">
        <v>12</v>
      </c>
      <c r="V40" s="4">
        <v>17</v>
      </c>
      <c r="W40" s="4">
        <v>65</v>
      </c>
      <c r="X40" s="4">
        <v>40</v>
      </c>
      <c r="Y40" s="5">
        <v>40</v>
      </c>
      <c r="Z40" s="5">
        <v>64</v>
      </c>
      <c r="AA40" s="3">
        <v>95</v>
      </c>
      <c r="AB40" s="4">
        <v>47</v>
      </c>
      <c r="AC40" s="4">
        <v>45</v>
      </c>
      <c r="AD40" s="4">
        <v>92</v>
      </c>
      <c r="AE40" s="4">
        <v>63</v>
      </c>
      <c r="AF40">
        <f>AVERAGE(AC40:AE40)</f>
        <v>66.666666666666671</v>
      </c>
      <c r="AG40">
        <f>AVERAGE(V40:AE40)</f>
        <v>56.8</v>
      </c>
      <c r="AH40" s="39" t="s">
        <v>225</v>
      </c>
      <c r="AK40" s="10" t="s">
        <v>44</v>
      </c>
      <c r="AL40" s="4">
        <v>14</v>
      </c>
      <c r="AM40" s="10" t="s">
        <v>12</v>
      </c>
      <c r="AN40" s="4">
        <v>2</v>
      </c>
      <c r="AO40" s="4">
        <v>12</v>
      </c>
      <c r="AP40" s="4">
        <v>5</v>
      </c>
      <c r="AQ40" s="5">
        <v>6</v>
      </c>
      <c r="AR40" s="5">
        <v>5</v>
      </c>
      <c r="AS40" s="3">
        <v>5</v>
      </c>
      <c r="AT40" s="4">
        <v>4</v>
      </c>
      <c r="AU40" s="4">
        <v>2</v>
      </c>
      <c r="AV40" s="4">
        <v>7</v>
      </c>
      <c r="AW40" s="4">
        <v>0</v>
      </c>
      <c r="AX40">
        <f>AVERAGE(AU40:AW40)</f>
        <v>3</v>
      </c>
      <c r="AY40">
        <f>AVERAGE(AN40:AW40)</f>
        <v>4.8</v>
      </c>
      <c r="AZ40" s="39" t="s">
        <v>225</v>
      </c>
    </row>
    <row r="41" spans="1:52" x14ac:dyDescent="0.25">
      <c r="A41" s="10" t="s">
        <v>22</v>
      </c>
      <c r="B41" s="4">
        <v>4</v>
      </c>
      <c r="C41" s="10" t="s">
        <v>12</v>
      </c>
      <c r="D41" s="4">
        <v>2</v>
      </c>
      <c r="E41" s="4">
        <v>1</v>
      </c>
      <c r="F41" s="4">
        <v>5</v>
      </c>
      <c r="G41" s="5">
        <v>75</v>
      </c>
      <c r="H41" s="5">
        <v>75</v>
      </c>
      <c r="I41" s="3">
        <v>75</v>
      </c>
      <c r="J41" s="4">
        <v>75</v>
      </c>
      <c r="K41" s="4">
        <v>75</v>
      </c>
      <c r="L41" s="4">
        <v>75</v>
      </c>
      <c r="M41" s="4">
        <v>75</v>
      </c>
      <c r="N41">
        <f>AVERAGE(K41:M41)</f>
        <v>75</v>
      </c>
      <c r="O41">
        <f>AVERAGE(D41:M41)</f>
        <v>53.3</v>
      </c>
      <c r="P41" s="39" t="s">
        <v>225</v>
      </c>
      <c r="S41" s="10" t="s">
        <v>22</v>
      </c>
      <c r="T41" s="4">
        <v>4</v>
      </c>
      <c r="U41" s="10" t="s">
        <v>12</v>
      </c>
      <c r="V41" s="4">
        <v>0</v>
      </c>
      <c r="W41" s="4">
        <v>1</v>
      </c>
      <c r="X41" s="4">
        <v>6</v>
      </c>
      <c r="Y41" s="5">
        <v>250</v>
      </c>
      <c r="Z41" s="5">
        <v>183</v>
      </c>
      <c r="AA41" s="3">
        <v>229</v>
      </c>
      <c r="AB41" s="4">
        <v>496</v>
      </c>
      <c r="AC41" s="4">
        <v>196</v>
      </c>
      <c r="AD41" s="4">
        <v>345</v>
      </c>
      <c r="AE41" s="4">
        <v>350</v>
      </c>
      <c r="AF41">
        <f>AVERAGE(AC41:AE41)</f>
        <v>297</v>
      </c>
      <c r="AG41">
        <f>AVERAGE(V41:AE41)</f>
        <v>205.6</v>
      </c>
      <c r="AH41" s="39" t="s">
        <v>225</v>
      </c>
      <c r="AK41" s="10" t="s">
        <v>22</v>
      </c>
      <c r="AL41" s="4">
        <v>4</v>
      </c>
      <c r="AM41" s="10" t="s">
        <v>12</v>
      </c>
      <c r="AN41" s="4">
        <v>9</v>
      </c>
      <c r="AO41" s="4">
        <v>0</v>
      </c>
      <c r="AP41" s="4">
        <v>7</v>
      </c>
      <c r="AQ41" s="5">
        <v>5</v>
      </c>
      <c r="AR41" s="5">
        <v>0</v>
      </c>
      <c r="AS41" s="3">
        <v>0</v>
      </c>
      <c r="AT41" s="10">
        <v>0</v>
      </c>
      <c r="AU41" s="4">
        <v>0</v>
      </c>
      <c r="AV41" s="4">
        <v>1</v>
      </c>
      <c r="AW41" s="4">
        <v>10</v>
      </c>
      <c r="AX41">
        <f>AVERAGE(AU41:AW41)</f>
        <v>3.6666666666666665</v>
      </c>
      <c r="AY41">
        <f>AVERAGE(AN41:AW41)</f>
        <v>3.2</v>
      </c>
      <c r="AZ41" s="39" t="s">
        <v>225</v>
      </c>
    </row>
    <row r="42" spans="1:52" x14ac:dyDescent="0.25">
      <c r="M42" s="37" t="s">
        <v>224</v>
      </c>
      <c r="N42">
        <f>AVERAGE(N40:N41)</f>
        <v>58.833333333333329</v>
      </c>
      <c r="O42">
        <f>AVERAGE(O40:O41)</f>
        <v>42.05</v>
      </c>
      <c r="AE42" s="37" t="s">
        <v>224</v>
      </c>
      <c r="AF42">
        <f>AVERAGE(AF40:AF41)</f>
        <v>181.83333333333334</v>
      </c>
      <c r="AG42">
        <f>AVERAGE(AG40:AG41)</f>
        <v>131.19999999999999</v>
      </c>
      <c r="AW42" s="37" t="s">
        <v>224</v>
      </c>
      <c r="AX42">
        <f>AVERAGE(AX40:AX41)</f>
        <v>3.333333333333333</v>
      </c>
      <c r="AY42">
        <f>AVERAGE(AY40:AY41)</f>
        <v>4</v>
      </c>
    </row>
    <row r="46" spans="1:52" x14ac:dyDescent="0.25">
      <c r="N46" s="37" t="s">
        <v>221</v>
      </c>
      <c r="O46" s="37" t="s">
        <v>222</v>
      </c>
      <c r="P46" t="s">
        <v>223</v>
      </c>
      <c r="AF46" s="37" t="s">
        <v>221</v>
      </c>
      <c r="AG46" s="37" t="s">
        <v>222</v>
      </c>
      <c r="AH46" t="s">
        <v>223</v>
      </c>
      <c r="AX46" s="37" t="s">
        <v>221</v>
      </c>
      <c r="AY46" s="37" t="s">
        <v>222</v>
      </c>
      <c r="AZ46" t="s">
        <v>223</v>
      </c>
    </row>
    <row r="47" spans="1:52" x14ac:dyDescent="0.25">
      <c r="A47" s="10" t="s">
        <v>18</v>
      </c>
      <c r="B47" s="4">
        <v>3</v>
      </c>
      <c r="C47" s="10" t="s">
        <v>19</v>
      </c>
      <c r="D47" s="4">
        <v>7</v>
      </c>
      <c r="E47" s="4">
        <v>5</v>
      </c>
      <c r="F47" s="4">
        <v>16</v>
      </c>
      <c r="G47" s="5">
        <v>19</v>
      </c>
      <c r="H47" s="5">
        <v>12</v>
      </c>
      <c r="I47" s="31">
        <v>15</v>
      </c>
      <c r="J47" s="4">
        <v>23</v>
      </c>
      <c r="K47" s="4">
        <v>10</v>
      </c>
      <c r="L47" s="4">
        <v>11</v>
      </c>
      <c r="M47" s="4">
        <v>17</v>
      </c>
      <c r="N47">
        <f t="shared" ref="N47" si="0">AVERAGE(K47:M47)</f>
        <v>12.666666666666666</v>
      </c>
      <c r="O47">
        <f t="shared" ref="O47" si="1">AVERAGE(D47:M47)</f>
        <v>13.5</v>
      </c>
      <c r="P47" t="s">
        <v>226</v>
      </c>
      <c r="S47" s="10" t="s">
        <v>18</v>
      </c>
      <c r="T47" s="4">
        <v>3</v>
      </c>
      <c r="U47" s="10" t="s">
        <v>19</v>
      </c>
      <c r="V47" s="4">
        <v>10</v>
      </c>
      <c r="W47" s="4">
        <v>7</v>
      </c>
      <c r="X47" s="4">
        <v>18</v>
      </c>
      <c r="Y47" s="5">
        <v>29</v>
      </c>
      <c r="Z47" s="5">
        <v>21</v>
      </c>
      <c r="AA47" s="31">
        <v>27</v>
      </c>
      <c r="AB47" s="4">
        <v>29</v>
      </c>
      <c r="AC47" s="4">
        <v>16</v>
      </c>
      <c r="AD47" s="4">
        <v>12</v>
      </c>
      <c r="AE47" s="4">
        <v>21</v>
      </c>
      <c r="AF47">
        <f>AVERAGE(AC47:AE47)</f>
        <v>16.333333333333332</v>
      </c>
      <c r="AG47">
        <f>AVERAGE(V47:AE47)</f>
        <v>19</v>
      </c>
      <c r="AH47" t="s">
        <v>226</v>
      </c>
      <c r="AK47" s="10" t="s">
        <v>18</v>
      </c>
      <c r="AL47" s="4">
        <v>3</v>
      </c>
      <c r="AM47" s="10" t="s">
        <v>19</v>
      </c>
      <c r="AN47" s="4">
        <v>3</v>
      </c>
      <c r="AO47" s="4">
        <v>7</v>
      </c>
      <c r="AP47" s="4">
        <v>14</v>
      </c>
      <c r="AQ47" s="5">
        <v>12</v>
      </c>
      <c r="AR47" s="5">
        <v>17</v>
      </c>
      <c r="AS47" s="31">
        <v>17</v>
      </c>
      <c r="AT47" s="4">
        <v>5</v>
      </c>
      <c r="AU47" s="4">
        <v>8</v>
      </c>
      <c r="AV47" s="4">
        <v>10</v>
      </c>
      <c r="AW47" s="4">
        <v>19</v>
      </c>
      <c r="AX47">
        <f t="shared" ref="AX47:AX50" si="2">AVERAGE(AU47:AW47)</f>
        <v>12.333333333333334</v>
      </c>
      <c r="AY47">
        <f t="shared" ref="AY47:AY50" si="3">AVERAGE(AN47:AW47)</f>
        <v>11.2</v>
      </c>
      <c r="AZ47" t="s">
        <v>226</v>
      </c>
    </row>
    <row r="48" spans="1:52" x14ac:dyDescent="0.25">
      <c r="A48" s="10" t="s">
        <v>33</v>
      </c>
      <c r="B48" s="4">
        <v>8</v>
      </c>
      <c r="C48" s="10" t="s">
        <v>19</v>
      </c>
      <c r="D48" s="34">
        <v>6</v>
      </c>
      <c r="E48" s="4">
        <v>3</v>
      </c>
      <c r="F48" s="4">
        <v>9</v>
      </c>
      <c r="G48" s="5">
        <v>23</v>
      </c>
      <c r="H48" s="5">
        <v>34</v>
      </c>
      <c r="I48" s="6">
        <v>30</v>
      </c>
      <c r="J48" s="4">
        <v>16</v>
      </c>
      <c r="K48" s="4">
        <v>7</v>
      </c>
      <c r="L48" s="4">
        <v>15</v>
      </c>
      <c r="M48" s="4">
        <v>13</v>
      </c>
      <c r="N48">
        <f t="shared" ref="N48:N50" si="4">AVERAGE(K48:M48)</f>
        <v>11.666666666666666</v>
      </c>
      <c r="O48">
        <f t="shared" ref="O48:O50" si="5">AVERAGE(D48:M48)</f>
        <v>15.6</v>
      </c>
      <c r="P48" t="s">
        <v>226</v>
      </c>
      <c r="S48" s="10" t="s">
        <v>33</v>
      </c>
      <c r="T48" s="4">
        <v>8</v>
      </c>
      <c r="U48" s="10" t="s">
        <v>19</v>
      </c>
      <c r="V48" s="30">
        <v>7</v>
      </c>
      <c r="W48" s="4">
        <v>4</v>
      </c>
      <c r="X48" s="4">
        <v>15</v>
      </c>
      <c r="Y48" s="5">
        <v>45</v>
      </c>
      <c r="Z48" s="5">
        <v>64</v>
      </c>
      <c r="AA48" s="6">
        <v>50</v>
      </c>
      <c r="AB48" s="4">
        <v>21</v>
      </c>
      <c r="AC48" s="4">
        <v>11</v>
      </c>
      <c r="AD48" s="4">
        <v>21</v>
      </c>
      <c r="AE48" s="4">
        <v>17</v>
      </c>
      <c r="AF48">
        <f t="shared" ref="AF48:AF50" si="6">AVERAGE(AC48:AE48)</f>
        <v>16.333333333333332</v>
      </c>
      <c r="AG48">
        <f t="shared" ref="AG48:AG50" si="7">AVERAGE(V48:AE48)</f>
        <v>25.5</v>
      </c>
      <c r="AH48" t="s">
        <v>226</v>
      </c>
      <c r="AK48" s="10" t="s">
        <v>33</v>
      </c>
      <c r="AL48" s="4">
        <v>8</v>
      </c>
      <c r="AM48" s="10" t="s">
        <v>19</v>
      </c>
      <c r="AN48" s="30">
        <v>13</v>
      </c>
      <c r="AO48" s="4">
        <v>42</v>
      </c>
      <c r="AP48" s="4">
        <v>3</v>
      </c>
      <c r="AQ48" s="5">
        <v>4</v>
      </c>
      <c r="AR48" s="5">
        <v>16</v>
      </c>
      <c r="AS48" s="6">
        <v>13</v>
      </c>
      <c r="AT48" s="3">
        <v>5</v>
      </c>
      <c r="AU48" s="4">
        <v>5</v>
      </c>
      <c r="AV48" s="4">
        <v>6</v>
      </c>
      <c r="AW48" s="4">
        <v>1</v>
      </c>
      <c r="AX48">
        <f t="shared" si="2"/>
        <v>4</v>
      </c>
      <c r="AY48">
        <f t="shared" si="3"/>
        <v>10.8</v>
      </c>
      <c r="AZ48" t="s">
        <v>226</v>
      </c>
    </row>
    <row r="49" spans="1:52" x14ac:dyDescent="0.25">
      <c r="A49" s="10" t="s">
        <v>35</v>
      </c>
      <c r="B49" s="4">
        <v>9</v>
      </c>
      <c r="C49" s="10" t="s">
        <v>19</v>
      </c>
      <c r="D49" s="4">
        <v>9</v>
      </c>
      <c r="E49" s="4">
        <v>14</v>
      </c>
      <c r="F49" s="4">
        <v>10</v>
      </c>
      <c r="G49" s="5">
        <v>9</v>
      </c>
      <c r="H49" s="5">
        <v>18</v>
      </c>
      <c r="I49" s="3">
        <v>11</v>
      </c>
      <c r="J49" s="3">
        <v>8</v>
      </c>
      <c r="K49" s="4">
        <v>2</v>
      </c>
      <c r="L49" s="4">
        <v>14</v>
      </c>
      <c r="M49" s="4">
        <v>12</v>
      </c>
      <c r="N49">
        <f t="shared" si="4"/>
        <v>9.3333333333333339</v>
      </c>
      <c r="O49">
        <f t="shared" si="5"/>
        <v>10.7</v>
      </c>
      <c r="P49" t="s">
        <v>226</v>
      </c>
      <c r="S49" s="10" t="s">
        <v>35</v>
      </c>
      <c r="T49" s="4">
        <v>9</v>
      </c>
      <c r="U49" s="10" t="s">
        <v>19</v>
      </c>
      <c r="V49" s="4">
        <v>13</v>
      </c>
      <c r="W49" s="4">
        <v>18</v>
      </c>
      <c r="X49" s="4">
        <v>12</v>
      </c>
      <c r="Y49" s="5">
        <v>12</v>
      </c>
      <c r="Z49" s="5">
        <v>23</v>
      </c>
      <c r="AA49" s="3">
        <v>12</v>
      </c>
      <c r="AB49" s="3">
        <v>9</v>
      </c>
      <c r="AC49" s="4">
        <v>2</v>
      </c>
      <c r="AD49" s="4">
        <v>22</v>
      </c>
      <c r="AE49" s="4">
        <v>13</v>
      </c>
      <c r="AF49">
        <f t="shared" si="6"/>
        <v>12.333333333333334</v>
      </c>
      <c r="AG49">
        <f t="shared" si="7"/>
        <v>13.6</v>
      </c>
      <c r="AH49" t="s">
        <v>226</v>
      </c>
      <c r="AK49" s="10" t="s">
        <v>35</v>
      </c>
      <c r="AL49" s="4">
        <v>9</v>
      </c>
      <c r="AM49" s="10" t="s">
        <v>19</v>
      </c>
      <c r="AN49" s="4">
        <v>14</v>
      </c>
      <c r="AO49" s="4">
        <v>9</v>
      </c>
      <c r="AP49" s="4">
        <v>4</v>
      </c>
      <c r="AQ49" s="5">
        <v>2</v>
      </c>
      <c r="AR49" s="5">
        <v>2</v>
      </c>
      <c r="AS49" s="3">
        <v>19</v>
      </c>
      <c r="AT49" s="4">
        <v>5</v>
      </c>
      <c r="AU49" s="4">
        <v>1</v>
      </c>
      <c r="AV49" s="4">
        <v>2</v>
      </c>
      <c r="AW49" s="4">
        <v>10</v>
      </c>
      <c r="AX49">
        <f t="shared" si="2"/>
        <v>4.333333333333333</v>
      </c>
      <c r="AY49">
        <f t="shared" si="3"/>
        <v>6.8</v>
      </c>
      <c r="AZ49" t="s">
        <v>226</v>
      </c>
    </row>
    <row r="50" spans="1:52" x14ac:dyDescent="0.25">
      <c r="A50" s="10" t="s">
        <v>43</v>
      </c>
      <c r="B50" s="4">
        <v>13</v>
      </c>
      <c r="C50" s="10" t="s">
        <v>19</v>
      </c>
      <c r="D50" s="4">
        <v>10</v>
      </c>
      <c r="E50" s="4">
        <v>26</v>
      </c>
      <c r="F50" s="4">
        <v>16</v>
      </c>
      <c r="G50" s="5">
        <v>8</v>
      </c>
      <c r="H50" s="5">
        <v>9</v>
      </c>
      <c r="I50" s="3">
        <v>13</v>
      </c>
      <c r="J50" s="4">
        <v>8</v>
      </c>
      <c r="K50" s="4">
        <v>6</v>
      </c>
      <c r="L50" s="4">
        <v>5</v>
      </c>
      <c r="M50" s="4">
        <v>9</v>
      </c>
      <c r="N50">
        <f t="shared" si="4"/>
        <v>6.666666666666667</v>
      </c>
      <c r="O50">
        <f t="shared" si="5"/>
        <v>11</v>
      </c>
      <c r="P50" t="s">
        <v>226</v>
      </c>
      <c r="S50" s="10" t="s">
        <v>43</v>
      </c>
      <c r="T50" s="4">
        <v>13</v>
      </c>
      <c r="U50" s="10" t="s">
        <v>19</v>
      </c>
      <c r="V50" s="4">
        <v>13</v>
      </c>
      <c r="W50" s="4">
        <v>32</v>
      </c>
      <c r="X50" s="4">
        <v>24</v>
      </c>
      <c r="Y50" s="5">
        <v>14</v>
      </c>
      <c r="Z50" s="5">
        <v>11</v>
      </c>
      <c r="AA50" s="3">
        <v>17</v>
      </c>
      <c r="AB50" s="4">
        <v>8</v>
      </c>
      <c r="AC50" s="4">
        <v>6</v>
      </c>
      <c r="AD50" s="4">
        <v>7</v>
      </c>
      <c r="AE50" s="4">
        <v>15</v>
      </c>
      <c r="AF50">
        <f t="shared" si="6"/>
        <v>9.3333333333333339</v>
      </c>
      <c r="AG50">
        <f t="shared" si="7"/>
        <v>14.7</v>
      </c>
      <c r="AH50" t="s">
        <v>226</v>
      </c>
      <c r="AK50" s="10" t="s">
        <v>43</v>
      </c>
      <c r="AL50" s="4">
        <v>13</v>
      </c>
      <c r="AM50" s="10" t="s">
        <v>19</v>
      </c>
      <c r="AN50" s="4">
        <v>6</v>
      </c>
      <c r="AO50" s="4">
        <v>9</v>
      </c>
      <c r="AP50" s="4">
        <v>3</v>
      </c>
      <c r="AQ50" s="5">
        <v>1</v>
      </c>
      <c r="AR50" s="5">
        <v>1</v>
      </c>
      <c r="AS50" s="3">
        <v>3</v>
      </c>
      <c r="AT50" s="4">
        <v>3</v>
      </c>
      <c r="AU50" s="4">
        <v>0</v>
      </c>
      <c r="AV50" s="4">
        <v>1</v>
      </c>
      <c r="AW50" s="4">
        <v>0</v>
      </c>
      <c r="AX50">
        <f t="shared" si="2"/>
        <v>0.33333333333333331</v>
      </c>
      <c r="AY50">
        <f t="shared" si="3"/>
        <v>2.7</v>
      </c>
      <c r="AZ50" t="s">
        <v>226</v>
      </c>
    </row>
  </sheetData>
  <sortState xmlns:xlrd2="http://schemas.microsoft.com/office/spreadsheetml/2017/richdata2" ref="AK24:AY35">
    <sortCondition ref="AL24:AL35" customList="16,12,11,6,7,2,10,1,15,5,14,4"/>
  </sortState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6"/>
  <sheetViews>
    <sheetView topLeftCell="A41" workbookViewId="0">
      <selection activeCell="H29" sqref="H29"/>
    </sheetView>
  </sheetViews>
  <sheetFormatPr defaultRowHeight="15" x14ac:dyDescent="0.25"/>
  <cols>
    <col min="1" max="1" width="22.28515625" customWidth="1"/>
    <col min="3" max="3" width="14.7109375" customWidth="1"/>
    <col min="4" max="4" width="9.7109375" bestFit="1" customWidth="1"/>
    <col min="5" max="5" width="10.7109375" customWidth="1"/>
    <col min="6" max="6" width="10" customWidth="1"/>
    <col min="7" max="8" width="10.28515625" customWidth="1"/>
    <col min="9" max="9" width="10" customWidth="1"/>
    <col min="10" max="10" width="10.140625" customWidth="1"/>
    <col min="11" max="11" width="10.28515625" customWidth="1"/>
    <col min="12" max="13" width="10.42578125" customWidth="1"/>
  </cols>
  <sheetData>
    <row r="1" spans="1:7" x14ac:dyDescent="0.25">
      <c r="A1" t="s">
        <v>227</v>
      </c>
      <c r="G1" t="s">
        <v>228</v>
      </c>
    </row>
    <row r="2" spans="1:7" x14ac:dyDescent="0.25">
      <c r="A2" t="s">
        <v>229</v>
      </c>
      <c r="E2" t="s">
        <v>230</v>
      </c>
      <c r="G2" t="s">
        <v>231</v>
      </c>
    </row>
    <row r="3" spans="1:7" x14ac:dyDescent="0.25">
      <c r="A3" t="s">
        <v>197</v>
      </c>
      <c r="G3" t="s">
        <v>232</v>
      </c>
    </row>
    <row r="4" spans="1:7" x14ac:dyDescent="0.25">
      <c r="G4" t="s">
        <v>233</v>
      </c>
    </row>
    <row r="5" spans="1:7" x14ac:dyDescent="0.25">
      <c r="A5" t="s">
        <v>9</v>
      </c>
    </row>
    <row r="6" spans="1:7" x14ac:dyDescent="0.25">
      <c r="A6" t="s">
        <v>51</v>
      </c>
      <c r="B6" t="s">
        <v>52</v>
      </c>
    </row>
    <row r="7" spans="1:7" x14ac:dyDescent="0.25">
      <c r="A7" t="s">
        <v>54</v>
      </c>
      <c r="B7" t="s">
        <v>17</v>
      </c>
    </row>
    <row r="8" spans="1:7" x14ac:dyDescent="0.25">
      <c r="A8" t="s">
        <v>56</v>
      </c>
      <c r="B8" t="s">
        <v>17</v>
      </c>
    </row>
    <row r="9" spans="1:7" x14ac:dyDescent="0.25">
      <c r="A9" t="s">
        <v>58</v>
      </c>
      <c r="B9" t="s">
        <v>17</v>
      </c>
    </row>
    <row r="10" spans="1:7" x14ac:dyDescent="0.25">
      <c r="A10" t="s">
        <v>60</v>
      </c>
      <c r="B10" t="s">
        <v>61</v>
      </c>
    </row>
    <row r="11" spans="1:7" x14ac:dyDescent="0.25">
      <c r="A11" t="s">
        <v>63</v>
      </c>
      <c r="B11" t="s">
        <v>64</v>
      </c>
    </row>
    <row r="12" spans="1:7" x14ac:dyDescent="0.25">
      <c r="A12" t="s">
        <v>66</v>
      </c>
      <c r="B12" t="s">
        <v>67</v>
      </c>
    </row>
    <row r="13" spans="1:7" x14ac:dyDescent="0.25">
      <c r="A13" t="s">
        <v>69</v>
      </c>
      <c r="B13" t="s">
        <v>17</v>
      </c>
    </row>
    <row r="14" spans="1:7" x14ac:dyDescent="0.25">
      <c r="A14" t="s">
        <v>71</v>
      </c>
      <c r="B14" t="s">
        <v>72</v>
      </c>
    </row>
    <row r="15" spans="1:7" x14ac:dyDescent="0.25">
      <c r="A15" t="s">
        <v>74</v>
      </c>
      <c r="B15" t="s">
        <v>17</v>
      </c>
    </row>
    <row r="16" spans="1:7" x14ac:dyDescent="0.25">
      <c r="A16" t="s">
        <v>76</v>
      </c>
      <c r="B16" t="s">
        <v>77</v>
      </c>
    </row>
    <row r="18" spans="1:14" x14ac:dyDescent="0.25">
      <c r="A18" s="35" t="s">
        <v>234</v>
      </c>
      <c r="B18" s="29"/>
    </row>
    <row r="19" spans="1:14" x14ac:dyDescent="0.25">
      <c r="A19" s="41" t="s">
        <v>235</v>
      </c>
      <c r="B19" s="29"/>
    </row>
    <row r="20" spans="1:14" ht="30" x14ac:dyDescent="0.25">
      <c r="A20" s="36" t="s">
        <v>236</v>
      </c>
      <c r="B20" s="29"/>
    </row>
    <row r="21" spans="1:14" x14ac:dyDescent="0.25">
      <c r="A21" s="47" t="s">
        <v>237</v>
      </c>
      <c r="B21" s="29"/>
    </row>
    <row r="22" spans="1:14" x14ac:dyDescent="0.25">
      <c r="A22" s="51" t="s">
        <v>238</v>
      </c>
      <c r="B22" s="29"/>
    </row>
    <row r="23" spans="1:14" x14ac:dyDescent="0.25">
      <c r="A23" s="49" t="s">
        <v>239</v>
      </c>
      <c r="B23" s="29"/>
    </row>
    <row r="25" spans="1:14" x14ac:dyDescent="0.25">
      <c r="A25" s="7"/>
      <c r="B25" s="7"/>
      <c r="C25" s="7" t="s">
        <v>201</v>
      </c>
      <c r="D25" s="28" t="s">
        <v>202</v>
      </c>
      <c r="E25" s="28" t="s">
        <v>202</v>
      </c>
      <c r="F25" s="28" t="s">
        <v>202</v>
      </c>
      <c r="G25" s="28" t="s">
        <v>202</v>
      </c>
      <c r="H25" s="28" t="s">
        <v>202</v>
      </c>
      <c r="I25" s="28" t="s">
        <v>202</v>
      </c>
      <c r="J25" s="28" t="s">
        <v>202</v>
      </c>
      <c r="K25" s="28" t="s">
        <v>202</v>
      </c>
      <c r="L25" s="28" t="s">
        <v>202</v>
      </c>
      <c r="M25" s="28" t="s">
        <v>202</v>
      </c>
    </row>
    <row r="26" spans="1:14" x14ac:dyDescent="0.25">
      <c r="A26" s="7" t="s">
        <v>203</v>
      </c>
      <c r="B26" s="7"/>
      <c r="C26" s="7"/>
      <c r="D26" s="14" t="s">
        <v>204</v>
      </c>
      <c r="E26" s="14" t="s">
        <v>205</v>
      </c>
      <c r="F26" s="14" t="s">
        <v>206</v>
      </c>
      <c r="G26" s="14" t="s">
        <v>207</v>
      </c>
      <c r="H26" s="14" t="s">
        <v>208</v>
      </c>
      <c r="I26" s="14" t="s">
        <v>210</v>
      </c>
      <c r="J26" s="14" t="s">
        <v>211</v>
      </c>
      <c r="K26" s="14" t="s">
        <v>209</v>
      </c>
      <c r="L26" s="14" t="s">
        <v>212</v>
      </c>
      <c r="M26" s="14" t="s">
        <v>213</v>
      </c>
      <c r="N26" s="14" t="s">
        <v>214</v>
      </c>
    </row>
    <row r="27" spans="1:14" x14ac:dyDescent="0.25">
      <c r="A27" s="7" t="s">
        <v>215</v>
      </c>
      <c r="B27" s="7" t="s">
        <v>216</v>
      </c>
      <c r="C27" s="7" t="s">
        <v>8</v>
      </c>
      <c r="D27" s="8">
        <v>44312</v>
      </c>
      <c r="E27" s="8">
        <v>44313</v>
      </c>
      <c r="F27" s="8">
        <v>44314</v>
      </c>
      <c r="G27" s="8">
        <v>44315</v>
      </c>
      <c r="H27" s="8">
        <v>44316</v>
      </c>
      <c r="I27" s="8">
        <v>44317</v>
      </c>
      <c r="J27" s="8">
        <v>44318</v>
      </c>
      <c r="K27" s="8">
        <v>44319</v>
      </c>
      <c r="L27" s="8">
        <v>44320</v>
      </c>
      <c r="M27" s="8">
        <v>44321</v>
      </c>
      <c r="N27" s="8">
        <v>44322</v>
      </c>
    </row>
    <row r="28" spans="1:14" x14ac:dyDescent="0.25">
      <c r="A28" s="10" t="s">
        <v>50</v>
      </c>
      <c r="B28" s="4">
        <v>1</v>
      </c>
      <c r="C28" s="45" t="s">
        <v>12</v>
      </c>
      <c r="D28" s="42">
        <v>339</v>
      </c>
      <c r="E28" s="3"/>
      <c r="F28" s="3"/>
      <c r="G28" s="4"/>
      <c r="H28" s="30">
        <v>321</v>
      </c>
      <c r="I28" s="4"/>
      <c r="J28" s="4"/>
      <c r="K28" s="17"/>
      <c r="L28" s="4"/>
      <c r="M28" s="4"/>
      <c r="N28" s="4"/>
    </row>
    <row r="29" spans="1:14" x14ac:dyDescent="0.25">
      <c r="A29" s="10" t="s">
        <v>53</v>
      </c>
      <c r="B29" s="4">
        <v>2</v>
      </c>
      <c r="C29" s="45" t="s">
        <v>12</v>
      </c>
      <c r="D29" s="43">
        <v>343</v>
      </c>
      <c r="E29" s="3"/>
      <c r="F29" s="3"/>
      <c r="G29" s="4"/>
      <c r="H29" s="4">
        <v>357</v>
      </c>
      <c r="I29" s="4"/>
      <c r="J29" s="4"/>
      <c r="K29" s="17"/>
      <c r="L29" s="30"/>
      <c r="M29" s="4"/>
      <c r="N29" s="4"/>
    </row>
    <row r="30" spans="1:14" x14ac:dyDescent="0.25">
      <c r="A30" s="10" t="s">
        <v>55</v>
      </c>
      <c r="B30" s="4">
        <v>3</v>
      </c>
      <c r="C30" s="45" t="s">
        <v>12</v>
      </c>
      <c r="D30" s="43">
        <v>301</v>
      </c>
      <c r="E30" s="3"/>
      <c r="F30" s="3"/>
      <c r="G30" s="4"/>
      <c r="H30" s="4">
        <v>292</v>
      </c>
      <c r="I30" s="4"/>
      <c r="J30" s="4"/>
      <c r="K30" s="17"/>
      <c r="L30" s="4"/>
      <c r="M30" s="4"/>
      <c r="N30" s="4"/>
    </row>
    <row r="31" spans="1:14" x14ac:dyDescent="0.25">
      <c r="A31" s="10" t="s">
        <v>57</v>
      </c>
      <c r="B31" s="4">
        <v>4</v>
      </c>
      <c r="C31" s="45" t="s">
        <v>12</v>
      </c>
      <c r="D31" s="43">
        <v>312</v>
      </c>
      <c r="E31" s="3"/>
      <c r="F31" s="3"/>
      <c r="G31" s="4"/>
      <c r="H31" s="4">
        <v>323</v>
      </c>
      <c r="I31" s="4"/>
      <c r="J31" s="30"/>
      <c r="K31" s="17"/>
      <c r="L31" s="4"/>
      <c r="M31" s="4"/>
      <c r="N31" s="4"/>
    </row>
    <row r="32" spans="1:14" x14ac:dyDescent="0.25">
      <c r="A32" s="10" t="s">
        <v>59</v>
      </c>
      <c r="B32" s="4">
        <v>5</v>
      </c>
      <c r="C32" s="45" t="s">
        <v>12</v>
      </c>
      <c r="D32" s="43">
        <v>310</v>
      </c>
      <c r="E32" s="3"/>
      <c r="F32" s="3"/>
      <c r="G32" s="4"/>
      <c r="H32" s="4">
        <v>302</v>
      </c>
      <c r="I32" s="4"/>
      <c r="J32" s="4"/>
      <c r="K32" s="17"/>
      <c r="L32" s="4"/>
      <c r="M32" s="4"/>
      <c r="N32" s="4"/>
    </row>
    <row r="33" spans="1:14" x14ac:dyDescent="0.25">
      <c r="A33" s="10" t="s">
        <v>62</v>
      </c>
      <c r="B33" s="4">
        <v>6</v>
      </c>
      <c r="C33" s="45" t="s">
        <v>12</v>
      </c>
      <c r="D33" s="43">
        <v>233</v>
      </c>
      <c r="E33" s="3"/>
      <c r="F33" s="3"/>
      <c r="G33" s="4"/>
      <c r="H33" s="4">
        <v>230</v>
      </c>
      <c r="I33" s="4"/>
      <c r="J33" s="4"/>
      <c r="K33" s="17"/>
      <c r="L33" s="4"/>
      <c r="M33" s="4"/>
      <c r="N33" s="4"/>
    </row>
    <row r="34" spans="1:14" x14ac:dyDescent="0.25">
      <c r="A34" s="10" t="s">
        <v>65</v>
      </c>
      <c r="B34" s="4">
        <v>7</v>
      </c>
      <c r="C34" s="45" t="s">
        <v>12</v>
      </c>
      <c r="D34" s="43">
        <v>220</v>
      </c>
      <c r="E34" s="3"/>
      <c r="F34" s="3"/>
      <c r="G34" s="4"/>
      <c r="H34" s="4">
        <v>285</v>
      </c>
      <c r="I34" s="4"/>
      <c r="J34" s="4"/>
      <c r="K34" s="17"/>
      <c r="L34" s="4"/>
      <c r="M34" s="4"/>
      <c r="N34" s="4"/>
    </row>
    <row r="35" spans="1:14" x14ac:dyDescent="0.25">
      <c r="A35" s="10" t="s">
        <v>68</v>
      </c>
      <c r="B35" s="4">
        <v>8</v>
      </c>
      <c r="C35" s="45" t="s">
        <v>19</v>
      </c>
      <c r="D35" s="43">
        <v>277</v>
      </c>
      <c r="E35" s="3"/>
      <c r="F35" s="3"/>
      <c r="G35" s="4"/>
      <c r="H35" s="4">
        <v>300</v>
      </c>
      <c r="I35" s="4"/>
      <c r="J35" s="4"/>
      <c r="K35" s="17"/>
      <c r="L35" s="46"/>
      <c r="M35" s="4"/>
      <c r="N35" s="4"/>
    </row>
    <row r="36" spans="1:14" x14ac:dyDescent="0.25">
      <c r="A36" s="10" t="s">
        <v>70</v>
      </c>
      <c r="B36" s="4">
        <v>9</v>
      </c>
      <c r="C36" s="45" t="s">
        <v>19</v>
      </c>
      <c r="D36" s="43">
        <v>277</v>
      </c>
      <c r="E36" s="3"/>
      <c r="F36" s="3"/>
      <c r="G36" s="4"/>
      <c r="H36" s="4">
        <v>287</v>
      </c>
      <c r="I36" s="30"/>
      <c r="J36" s="4"/>
      <c r="K36" s="17"/>
      <c r="L36" s="4"/>
      <c r="M36" s="4"/>
      <c r="N36" s="4"/>
    </row>
    <row r="37" spans="1:14" x14ac:dyDescent="0.25">
      <c r="A37" s="10" t="s">
        <v>73</v>
      </c>
      <c r="B37" s="4">
        <v>10</v>
      </c>
      <c r="C37" s="45" t="s">
        <v>19</v>
      </c>
      <c r="D37" s="43">
        <v>246</v>
      </c>
      <c r="E37" s="3"/>
      <c r="F37" s="3"/>
      <c r="G37" s="4"/>
      <c r="H37" s="4">
        <v>269</v>
      </c>
      <c r="I37" s="4"/>
      <c r="J37" s="4"/>
      <c r="K37" s="17"/>
      <c r="L37" s="4"/>
      <c r="M37" s="52"/>
      <c r="N37" s="46"/>
    </row>
    <row r="38" spans="1:14" x14ac:dyDescent="0.25">
      <c r="A38" s="10" t="s">
        <v>75</v>
      </c>
      <c r="B38" s="4">
        <v>11</v>
      </c>
      <c r="C38" s="45" t="s">
        <v>19</v>
      </c>
      <c r="D38" s="43">
        <v>272</v>
      </c>
      <c r="E38" s="3"/>
      <c r="F38" s="3"/>
      <c r="G38" s="46"/>
      <c r="H38" s="38">
        <v>268</v>
      </c>
      <c r="I38" s="50"/>
      <c r="J38" s="50"/>
      <c r="K38" s="17"/>
      <c r="L38" s="50"/>
      <c r="M38" s="50"/>
      <c r="N38" s="50"/>
    </row>
    <row r="39" spans="1:14" x14ac:dyDescent="0.25">
      <c r="A39" s="10" t="s">
        <v>78</v>
      </c>
      <c r="B39" s="4">
        <v>12</v>
      </c>
      <c r="C39" s="45" t="s">
        <v>12</v>
      </c>
      <c r="D39" s="44">
        <v>252</v>
      </c>
      <c r="E39" s="3"/>
      <c r="F39" s="3"/>
      <c r="G39" s="4"/>
      <c r="H39" s="4">
        <v>266</v>
      </c>
      <c r="I39" s="4"/>
      <c r="J39" s="4"/>
      <c r="K39" s="17"/>
      <c r="L39" s="4"/>
      <c r="M39" s="4"/>
      <c r="N39" s="52"/>
    </row>
    <row r="40" spans="1:14" x14ac:dyDescent="0.25">
      <c r="A40" s="10" t="s">
        <v>79</v>
      </c>
      <c r="B40" s="4">
        <v>13</v>
      </c>
      <c r="C40" s="45" t="s">
        <v>12</v>
      </c>
      <c r="D40" s="43">
        <v>299</v>
      </c>
      <c r="E40" s="3"/>
      <c r="F40" s="3"/>
      <c r="G40" s="4"/>
      <c r="H40" s="4">
        <v>315</v>
      </c>
      <c r="I40" s="4"/>
      <c r="J40" s="4"/>
      <c r="K40" s="17"/>
      <c r="L40" s="52"/>
      <c r="M40" s="52"/>
      <c r="N40" s="4"/>
    </row>
    <row r="41" spans="1:14" x14ac:dyDescent="0.25">
      <c r="A41" s="10" t="s">
        <v>80</v>
      </c>
      <c r="B41" s="4">
        <v>14</v>
      </c>
      <c r="C41" s="45" t="s">
        <v>12</v>
      </c>
      <c r="D41" s="43">
        <v>315</v>
      </c>
      <c r="E41" s="3"/>
      <c r="F41" s="3"/>
      <c r="G41" s="4"/>
      <c r="H41" s="4">
        <v>316</v>
      </c>
      <c r="I41" s="4"/>
      <c r="J41" s="4"/>
      <c r="K41" s="17"/>
      <c r="L41" s="4"/>
      <c r="M41" s="4"/>
      <c r="N41" s="4"/>
    </row>
    <row r="42" spans="1:14" x14ac:dyDescent="0.25">
      <c r="A42" s="10" t="s">
        <v>81</v>
      </c>
      <c r="B42" s="4">
        <v>15</v>
      </c>
      <c r="C42" s="45" t="s">
        <v>12</v>
      </c>
      <c r="D42" s="43">
        <v>318</v>
      </c>
      <c r="E42" s="3"/>
      <c r="F42" s="3"/>
      <c r="G42" s="4"/>
      <c r="H42" s="4">
        <v>308</v>
      </c>
      <c r="I42" s="4"/>
      <c r="J42" s="4"/>
      <c r="K42" s="17"/>
      <c r="L42" s="4"/>
      <c r="M42" s="4"/>
      <c r="N42" s="4"/>
    </row>
    <row r="43" spans="1:14" x14ac:dyDescent="0.25">
      <c r="A43" s="10" t="s">
        <v>82</v>
      </c>
      <c r="B43" s="4">
        <v>16</v>
      </c>
      <c r="C43" s="45" t="s">
        <v>12</v>
      </c>
      <c r="D43" s="42">
        <v>260</v>
      </c>
      <c r="E43" s="42"/>
      <c r="F43" s="42"/>
      <c r="G43" s="42"/>
      <c r="H43" s="30">
        <v>283</v>
      </c>
      <c r="I43" s="4"/>
      <c r="J43" s="30"/>
      <c r="K43" s="17"/>
      <c r="L43" s="30"/>
      <c r="M43" s="4"/>
      <c r="N43" s="4"/>
    </row>
    <row r="46" spans="1:14" x14ac:dyDescent="0.25">
      <c r="A46" s="7"/>
      <c r="B46" s="7"/>
      <c r="C46" s="7" t="s">
        <v>201</v>
      </c>
      <c r="D46" s="11" t="s">
        <v>217</v>
      </c>
      <c r="E46" s="11" t="s">
        <v>217</v>
      </c>
      <c r="F46" s="11" t="s">
        <v>217</v>
      </c>
      <c r="G46" s="11" t="s">
        <v>217</v>
      </c>
      <c r="H46" s="11" t="s">
        <v>217</v>
      </c>
      <c r="I46" s="11" t="s">
        <v>217</v>
      </c>
      <c r="J46" s="11" t="s">
        <v>217</v>
      </c>
      <c r="K46" s="11" t="s">
        <v>217</v>
      </c>
      <c r="L46" s="11" t="s">
        <v>217</v>
      </c>
      <c r="M46" s="11" t="s">
        <v>217</v>
      </c>
    </row>
    <row r="47" spans="1:14" x14ac:dyDescent="0.25">
      <c r="A47" s="14" t="s">
        <v>218</v>
      </c>
      <c r="B47" s="7"/>
      <c r="C47" s="7"/>
      <c r="D47" s="14" t="s">
        <v>204</v>
      </c>
      <c r="E47" s="14" t="s">
        <v>205</v>
      </c>
      <c r="F47" s="14" t="s">
        <v>206</v>
      </c>
      <c r="G47" s="14" t="s">
        <v>207</v>
      </c>
      <c r="H47" s="14" t="s">
        <v>208</v>
      </c>
      <c r="I47" s="14" t="s">
        <v>210</v>
      </c>
      <c r="J47" s="14" t="s">
        <v>211</v>
      </c>
      <c r="K47" s="14" t="s">
        <v>209</v>
      </c>
      <c r="L47" s="14" t="s">
        <v>212</v>
      </c>
      <c r="M47" s="14" t="s">
        <v>213</v>
      </c>
      <c r="N47" s="14" t="s">
        <v>214</v>
      </c>
    </row>
    <row r="48" spans="1:14" x14ac:dyDescent="0.25">
      <c r="A48" s="7" t="s">
        <v>215</v>
      </c>
      <c r="B48" s="7" t="s">
        <v>216</v>
      </c>
      <c r="C48" s="7" t="s">
        <v>8</v>
      </c>
      <c r="D48" s="8">
        <v>44312</v>
      </c>
      <c r="E48" s="8">
        <v>44313</v>
      </c>
      <c r="F48" s="8">
        <v>44314</v>
      </c>
      <c r="G48" s="8">
        <v>44315</v>
      </c>
      <c r="H48" s="8">
        <v>44316</v>
      </c>
      <c r="I48" s="8">
        <v>44317</v>
      </c>
      <c r="J48" s="8">
        <v>44318</v>
      </c>
      <c r="K48" s="8">
        <v>44319</v>
      </c>
      <c r="L48" s="8">
        <v>44320</v>
      </c>
      <c r="M48" s="8">
        <v>44321</v>
      </c>
      <c r="N48" s="8">
        <v>44322</v>
      </c>
    </row>
    <row r="49" spans="1:15" x14ac:dyDescent="0.25">
      <c r="A49" s="10" t="s">
        <v>50</v>
      </c>
      <c r="B49" s="4">
        <v>1</v>
      </c>
      <c r="C49" s="10" t="s">
        <v>12</v>
      </c>
      <c r="D49" s="42">
        <v>32</v>
      </c>
      <c r="E49" s="3">
        <v>45</v>
      </c>
      <c r="F49" s="3">
        <v>60</v>
      </c>
      <c r="G49" s="4">
        <v>75</v>
      </c>
      <c r="H49" s="30">
        <v>75</v>
      </c>
      <c r="I49" s="4">
        <v>75</v>
      </c>
      <c r="J49" s="4">
        <v>75</v>
      </c>
      <c r="K49" s="17"/>
      <c r="L49" s="4">
        <v>75</v>
      </c>
      <c r="M49" s="4">
        <v>75</v>
      </c>
      <c r="N49" s="4">
        <v>75</v>
      </c>
    </row>
    <row r="50" spans="1:15" x14ac:dyDescent="0.25">
      <c r="A50" s="10" t="s">
        <v>53</v>
      </c>
      <c r="B50" s="4">
        <v>2</v>
      </c>
      <c r="C50" s="10" t="s">
        <v>12</v>
      </c>
      <c r="D50" s="43">
        <v>14</v>
      </c>
      <c r="E50" s="3">
        <v>33</v>
      </c>
      <c r="F50" s="3">
        <v>28</v>
      </c>
      <c r="G50" s="4">
        <v>29</v>
      </c>
      <c r="H50" s="4">
        <v>18</v>
      </c>
      <c r="I50" s="4">
        <v>24</v>
      </c>
      <c r="J50" s="4">
        <v>17</v>
      </c>
      <c r="K50" s="17"/>
      <c r="L50" s="30">
        <v>19</v>
      </c>
      <c r="M50" s="4">
        <v>24</v>
      </c>
      <c r="N50" s="4">
        <v>38</v>
      </c>
      <c r="O50" s="167"/>
    </row>
    <row r="51" spans="1:15" x14ac:dyDescent="0.25">
      <c r="A51" s="10" t="s">
        <v>55</v>
      </c>
      <c r="B51" s="4">
        <v>3</v>
      </c>
      <c r="C51" s="10" t="s">
        <v>12</v>
      </c>
      <c r="D51" s="43">
        <v>23</v>
      </c>
      <c r="E51" s="3">
        <v>45</v>
      </c>
      <c r="F51" s="3">
        <v>45</v>
      </c>
      <c r="G51" s="4">
        <v>18</v>
      </c>
      <c r="H51" s="4">
        <v>33</v>
      </c>
      <c r="I51" s="4">
        <v>40</v>
      </c>
      <c r="J51" s="4">
        <v>55</v>
      </c>
      <c r="K51" s="17"/>
      <c r="L51" s="4">
        <v>15</v>
      </c>
      <c r="M51" s="4">
        <v>5</v>
      </c>
      <c r="N51" s="4">
        <v>14</v>
      </c>
    </row>
    <row r="52" spans="1:15" x14ac:dyDescent="0.25">
      <c r="A52" s="10" t="s">
        <v>57</v>
      </c>
      <c r="B52" s="4">
        <v>4</v>
      </c>
      <c r="C52" s="10" t="s">
        <v>12</v>
      </c>
      <c r="D52" s="43">
        <v>19</v>
      </c>
      <c r="E52" s="3">
        <v>42</v>
      </c>
      <c r="F52" s="3">
        <v>41</v>
      </c>
      <c r="G52" s="4">
        <v>55</v>
      </c>
      <c r="H52" s="4">
        <v>57</v>
      </c>
      <c r="I52" s="4">
        <v>45</v>
      </c>
      <c r="J52" s="30">
        <v>67</v>
      </c>
      <c r="K52" s="17"/>
      <c r="L52" s="4">
        <v>42</v>
      </c>
      <c r="M52" s="4">
        <v>43</v>
      </c>
      <c r="N52" s="4">
        <v>53</v>
      </c>
    </row>
    <row r="53" spans="1:15" x14ac:dyDescent="0.25">
      <c r="A53" s="10" t="s">
        <v>59</v>
      </c>
      <c r="B53" s="4">
        <v>5</v>
      </c>
      <c r="C53" s="10" t="s">
        <v>12</v>
      </c>
      <c r="D53" s="43">
        <v>27</v>
      </c>
      <c r="E53" s="3">
        <v>35</v>
      </c>
      <c r="F53" s="3">
        <v>36</v>
      </c>
      <c r="G53" s="4">
        <v>37</v>
      </c>
      <c r="H53" s="4">
        <v>44</v>
      </c>
      <c r="I53" s="4">
        <v>40</v>
      </c>
      <c r="J53" s="4">
        <v>65</v>
      </c>
      <c r="K53" s="17"/>
      <c r="L53" s="4">
        <v>68</v>
      </c>
      <c r="M53" s="4">
        <v>0</v>
      </c>
      <c r="N53" s="4">
        <v>52</v>
      </c>
    </row>
    <row r="54" spans="1:15" x14ac:dyDescent="0.25">
      <c r="A54" s="10" t="s">
        <v>62</v>
      </c>
      <c r="B54" s="4">
        <v>6</v>
      </c>
      <c r="C54" s="10" t="s">
        <v>12</v>
      </c>
      <c r="D54" s="43">
        <v>24</v>
      </c>
      <c r="E54" s="3">
        <v>38</v>
      </c>
      <c r="F54" s="3">
        <v>45</v>
      </c>
      <c r="G54" s="4">
        <v>30</v>
      </c>
      <c r="H54" s="4">
        <v>54</v>
      </c>
      <c r="I54" s="4">
        <v>43</v>
      </c>
      <c r="J54" s="4">
        <v>51</v>
      </c>
      <c r="K54" s="17"/>
      <c r="L54" s="4">
        <v>68</v>
      </c>
      <c r="M54" s="4">
        <v>51</v>
      </c>
      <c r="N54" s="4">
        <v>64</v>
      </c>
    </row>
    <row r="55" spans="1:15" x14ac:dyDescent="0.25">
      <c r="A55" s="10" t="s">
        <v>65</v>
      </c>
      <c r="B55" s="4">
        <v>7</v>
      </c>
      <c r="C55" s="10" t="s">
        <v>12</v>
      </c>
      <c r="D55" s="43">
        <v>25</v>
      </c>
      <c r="E55" s="3">
        <v>45</v>
      </c>
      <c r="F55" s="3">
        <v>28</v>
      </c>
      <c r="G55" s="4">
        <v>30</v>
      </c>
      <c r="H55" s="4">
        <v>31</v>
      </c>
      <c r="I55" s="4">
        <v>27</v>
      </c>
      <c r="J55" s="4">
        <v>39</v>
      </c>
      <c r="K55" s="17"/>
      <c r="L55" s="4">
        <v>30</v>
      </c>
      <c r="M55" s="4">
        <v>27</v>
      </c>
      <c r="N55" s="4">
        <v>34</v>
      </c>
    </row>
    <row r="56" spans="1:15" x14ac:dyDescent="0.25">
      <c r="A56" s="10" t="s">
        <v>68</v>
      </c>
      <c r="B56" s="4">
        <v>8</v>
      </c>
      <c r="C56" s="10" t="s">
        <v>19</v>
      </c>
      <c r="D56" s="43">
        <v>9</v>
      </c>
      <c r="E56" s="3">
        <v>39</v>
      </c>
      <c r="F56" s="3">
        <v>10</v>
      </c>
      <c r="G56" s="4">
        <v>3</v>
      </c>
      <c r="H56" s="4">
        <v>6</v>
      </c>
      <c r="I56" s="4">
        <v>2</v>
      </c>
      <c r="J56" s="4">
        <v>0</v>
      </c>
      <c r="K56" s="17"/>
      <c r="L56" s="46">
        <v>1</v>
      </c>
      <c r="M56" s="4">
        <v>0</v>
      </c>
      <c r="N56" s="4">
        <v>0</v>
      </c>
    </row>
    <row r="57" spans="1:15" x14ac:dyDescent="0.25">
      <c r="A57" s="10" t="s">
        <v>70</v>
      </c>
      <c r="B57" s="4">
        <v>9</v>
      </c>
      <c r="C57" s="10" t="s">
        <v>19</v>
      </c>
      <c r="D57" s="43">
        <v>33</v>
      </c>
      <c r="E57" s="3">
        <v>39</v>
      </c>
      <c r="F57" s="3">
        <v>18</v>
      </c>
      <c r="G57" s="4">
        <v>8</v>
      </c>
      <c r="H57" s="4">
        <v>8</v>
      </c>
      <c r="I57" s="30">
        <v>7</v>
      </c>
      <c r="J57" s="4">
        <v>6</v>
      </c>
      <c r="K57" s="17"/>
      <c r="L57" s="4">
        <v>6</v>
      </c>
      <c r="M57" s="4">
        <v>7</v>
      </c>
      <c r="N57" s="4">
        <v>6</v>
      </c>
    </row>
    <row r="58" spans="1:15" x14ac:dyDescent="0.25">
      <c r="A58" s="10" t="s">
        <v>73</v>
      </c>
      <c r="B58" s="4">
        <v>10</v>
      </c>
      <c r="C58" s="10" t="s">
        <v>19</v>
      </c>
      <c r="D58" s="43">
        <v>18</v>
      </c>
      <c r="E58" s="3">
        <v>15</v>
      </c>
      <c r="F58" s="3">
        <v>19</v>
      </c>
      <c r="G58" s="4">
        <v>6</v>
      </c>
      <c r="H58" s="4">
        <v>6</v>
      </c>
      <c r="I58" s="4">
        <v>4</v>
      </c>
      <c r="J58" s="4">
        <v>5</v>
      </c>
      <c r="K58" s="17"/>
      <c r="L58" s="4">
        <v>4</v>
      </c>
      <c r="M58" s="52">
        <v>7</v>
      </c>
      <c r="N58" s="46">
        <v>4</v>
      </c>
    </row>
    <row r="59" spans="1:15" x14ac:dyDescent="0.25">
      <c r="A59" s="10" t="s">
        <v>75</v>
      </c>
      <c r="B59" s="4">
        <v>11</v>
      </c>
      <c r="C59" s="10" t="s">
        <v>19</v>
      </c>
      <c r="D59" s="43">
        <v>34</v>
      </c>
      <c r="E59" s="3">
        <v>51</v>
      </c>
      <c r="F59" s="3">
        <v>40</v>
      </c>
      <c r="G59" s="46">
        <v>19</v>
      </c>
      <c r="H59" s="38">
        <v>1</v>
      </c>
      <c r="I59" s="50"/>
      <c r="J59" s="50"/>
      <c r="K59" s="17"/>
      <c r="L59" s="50"/>
      <c r="M59" s="50"/>
      <c r="N59" s="50"/>
    </row>
    <row r="60" spans="1:15" x14ac:dyDescent="0.25">
      <c r="A60" s="10" t="s">
        <v>78</v>
      </c>
      <c r="B60" s="4">
        <v>12</v>
      </c>
      <c r="C60" s="10" t="s">
        <v>12</v>
      </c>
      <c r="D60" s="44">
        <v>20</v>
      </c>
      <c r="E60" s="3">
        <v>26</v>
      </c>
      <c r="F60" s="3">
        <v>36</v>
      </c>
      <c r="G60" s="4">
        <v>23</v>
      </c>
      <c r="H60" s="4">
        <v>30</v>
      </c>
      <c r="I60" s="4">
        <v>20</v>
      </c>
      <c r="J60" s="4">
        <v>20</v>
      </c>
      <c r="K60" s="17"/>
      <c r="L60" s="4">
        <v>26</v>
      </c>
      <c r="M60" s="4">
        <v>6</v>
      </c>
      <c r="N60" s="52">
        <v>11</v>
      </c>
    </row>
    <row r="61" spans="1:15" x14ac:dyDescent="0.25">
      <c r="A61" s="10" t="s">
        <v>79</v>
      </c>
      <c r="B61" s="4">
        <v>13</v>
      </c>
      <c r="C61" s="10" t="s">
        <v>12</v>
      </c>
      <c r="D61" s="43">
        <v>28</v>
      </c>
      <c r="E61" s="3">
        <v>30</v>
      </c>
      <c r="F61" s="3">
        <v>37</v>
      </c>
      <c r="G61" s="4">
        <v>34</v>
      </c>
      <c r="H61" s="4">
        <v>59</v>
      </c>
      <c r="I61" s="4">
        <v>57</v>
      </c>
      <c r="J61" s="4">
        <v>75</v>
      </c>
      <c r="K61" s="17"/>
      <c r="L61" s="52">
        <v>42</v>
      </c>
      <c r="M61" s="52">
        <v>44</v>
      </c>
      <c r="N61" s="4">
        <v>54</v>
      </c>
    </row>
    <row r="62" spans="1:15" x14ac:dyDescent="0.25">
      <c r="A62" s="10" t="s">
        <v>80</v>
      </c>
      <c r="B62" s="4">
        <v>14</v>
      </c>
      <c r="C62" s="10" t="s">
        <v>12</v>
      </c>
      <c r="D62" s="43">
        <v>25</v>
      </c>
      <c r="E62" s="3">
        <v>37</v>
      </c>
      <c r="F62" s="3">
        <v>54</v>
      </c>
      <c r="G62" s="4">
        <v>38</v>
      </c>
      <c r="H62" s="4">
        <v>25</v>
      </c>
      <c r="I62" s="4">
        <v>25</v>
      </c>
      <c r="J62" s="4">
        <v>21</v>
      </c>
      <c r="K62" s="17"/>
      <c r="L62" s="4">
        <v>34</v>
      </c>
      <c r="M62" s="4">
        <v>15</v>
      </c>
      <c r="N62" s="4">
        <v>21</v>
      </c>
    </row>
    <row r="63" spans="1:15" x14ac:dyDescent="0.25">
      <c r="A63" s="10" t="s">
        <v>81</v>
      </c>
      <c r="B63" s="4">
        <v>15</v>
      </c>
      <c r="C63" s="10" t="s">
        <v>12</v>
      </c>
      <c r="D63" s="43">
        <v>34</v>
      </c>
      <c r="E63" s="3">
        <v>49</v>
      </c>
      <c r="F63" s="3">
        <v>70</v>
      </c>
      <c r="G63" s="4">
        <v>75</v>
      </c>
      <c r="H63" s="4">
        <v>75</v>
      </c>
      <c r="I63" s="4">
        <v>74</v>
      </c>
      <c r="J63" s="4">
        <v>75</v>
      </c>
      <c r="K63" s="17"/>
      <c r="L63" s="4">
        <v>70</v>
      </c>
      <c r="M63" s="4">
        <v>51</v>
      </c>
      <c r="N63" s="4">
        <v>75</v>
      </c>
    </row>
    <row r="64" spans="1:15" x14ac:dyDescent="0.25">
      <c r="A64" s="10" t="s">
        <v>82</v>
      </c>
      <c r="B64" s="4">
        <v>16</v>
      </c>
      <c r="C64" s="10" t="s">
        <v>12</v>
      </c>
      <c r="D64" s="42">
        <v>43</v>
      </c>
      <c r="E64" s="42">
        <v>27</v>
      </c>
      <c r="F64" s="42">
        <v>33</v>
      </c>
      <c r="G64" s="42">
        <v>50</v>
      </c>
      <c r="H64" s="30">
        <v>35</v>
      </c>
      <c r="I64" s="4">
        <v>20</v>
      </c>
      <c r="J64" s="30">
        <v>2</v>
      </c>
      <c r="K64" s="17"/>
      <c r="L64" s="30">
        <v>7</v>
      </c>
      <c r="M64" s="4">
        <v>6</v>
      </c>
      <c r="N64" s="4">
        <v>5</v>
      </c>
    </row>
    <row r="65" spans="1:14" x14ac:dyDescent="0.25">
      <c r="B65" s="7"/>
      <c r="D65" s="29"/>
      <c r="E65" s="29"/>
      <c r="F65" s="29"/>
      <c r="G65" s="29"/>
      <c r="H65" s="7"/>
      <c r="I65" s="7"/>
      <c r="J65" s="7"/>
      <c r="K65" s="7"/>
      <c r="L65" s="7"/>
      <c r="M65" s="7"/>
      <c r="N65" s="7"/>
    </row>
    <row r="67" spans="1:14" x14ac:dyDescent="0.25">
      <c r="A67" s="7"/>
      <c r="B67" s="7"/>
      <c r="C67" s="7" t="s">
        <v>201</v>
      </c>
      <c r="D67" s="11" t="s">
        <v>217</v>
      </c>
      <c r="E67" s="11" t="s">
        <v>217</v>
      </c>
      <c r="F67" s="11" t="s">
        <v>217</v>
      </c>
      <c r="G67" s="11" t="s">
        <v>217</v>
      </c>
      <c r="H67" s="11" t="s">
        <v>217</v>
      </c>
      <c r="I67" s="11" t="s">
        <v>217</v>
      </c>
      <c r="J67" s="11" t="s">
        <v>217</v>
      </c>
      <c r="K67" s="11" t="s">
        <v>217</v>
      </c>
      <c r="L67" s="11" t="s">
        <v>217</v>
      </c>
      <c r="M67" s="11" t="s">
        <v>217</v>
      </c>
    </row>
    <row r="68" spans="1:14" x14ac:dyDescent="0.25">
      <c r="A68" s="14" t="s">
        <v>219</v>
      </c>
      <c r="B68" s="7"/>
      <c r="C68" s="7"/>
      <c r="D68" s="14" t="s">
        <v>204</v>
      </c>
      <c r="E68" s="14" t="s">
        <v>205</v>
      </c>
      <c r="F68" s="14" t="s">
        <v>206</v>
      </c>
      <c r="G68" s="14" t="s">
        <v>207</v>
      </c>
      <c r="H68" s="14" t="s">
        <v>208</v>
      </c>
      <c r="I68" s="14" t="s">
        <v>210</v>
      </c>
      <c r="J68" s="14" t="s">
        <v>211</v>
      </c>
      <c r="K68" s="14" t="s">
        <v>209</v>
      </c>
      <c r="L68" s="14" t="s">
        <v>212</v>
      </c>
      <c r="M68" s="14" t="s">
        <v>213</v>
      </c>
      <c r="N68" s="14" t="s">
        <v>214</v>
      </c>
    </row>
    <row r="69" spans="1:14" x14ac:dyDescent="0.25">
      <c r="A69" s="7" t="s">
        <v>215</v>
      </c>
      <c r="B69" s="7" t="s">
        <v>216</v>
      </c>
      <c r="C69" s="7" t="s">
        <v>8</v>
      </c>
      <c r="D69" s="8">
        <v>44312</v>
      </c>
      <c r="E69" s="8">
        <v>44313</v>
      </c>
      <c r="F69" s="8">
        <v>44314</v>
      </c>
      <c r="G69" s="8">
        <v>44315</v>
      </c>
      <c r="H69" s="8">
        <v>44316</v>
      </c>
      <c r="I69" s="8">
        <v>44317</v>
      </c>
      <c r="J69" s="8">
        <v>44318</v>
      </c>
      <c r="K69" s="8">
        <v>44319</v>
      </c>
      <c r="L69" s="8">
        <v>44320</v>
      </c>
      <c r="M69" s="8">
        <v>44321</v>
      </c>
      <c r="N69" s="8">
        <v>44322</v>
      </c>
    </row>
    <row r="70" spans="1:14" x14ac:dyDescent="0.25">
      <c r="A70" s="10" t="s">
        <v>50</v>
      </c>
      <c r="B70" s="4">
        <v>1</v>
      </c>
      <c r="C70" s="10" t="s">
        <v>12</v>
      </c>
      <c r="D70" s="42">
        <v>52</v>
      </c>
      <c r="E70" s="3">
        <v>52</v>
      </c>
      <c r="F70" s="3">
        <v>159</v>
      </c>
      <c r="G70" s="4">
        <v>213</v>
      </c>
      <c r="H70" s="30">
        <v>482</v>
      </c>
      <c r="I70" s="4">
        <v>414</v>
      </c>
      <c r="J70" s="4">
        <v>534</v>
      </c>
      <c r="K70" s="17"/>
      <c r="L70" s="4">
        <v>556</v>
      </c>
      <c r="M70" s="4">
        <v>318</v>
      </c>
      <c r="N70" s="4">
        <v>422</v>
      </c>
    </row>
    <row r="71" spans="1:14" x14ac:dyDescent="0.25">
      <c r="A71" s="10" t="s">
        <v>53</v>
      </c>
      <c r="B71" s="4">
        <v>2</v>
      </c>
      <c r="C71" s="10" t="s">
        <v>12</v>
      </c>
      <c r="D71" s="43">
        <v>17</v>
      </c>
      <c r="E71" s="3">
        <v>45</v>
      </c>
      <c r="F71" s="3">
        <v>41</v>
      </c>
      <c r="G71" s="4">
        <v>48</v>
      </c>
      <c r="H71" s="4">
        <v>25</v>
      </c>
      <c r="I71" s="4">
        <v>33</v>
      </c>
      <c r="J71" s="4">
        <v>39</v>
      </c>
      <c r="K71" s="17"/>
      <c r="L71" s="30">
        <v>27</v>
      </c>
      <c r="M71" s="4">
        <v>37</v>
      </c>
      <c r="N71" s="4">
        <v>54</v>
      </c>
    </row>
    <row r="72" spans="1:14" x14ac:dyDescent="0.25">
      <c r="A72" s="10" t="s">
        <v>55</v>
      </c>
      <c r="B72" s="4">
        <v>3</v>
      </c>
      <c r="C72" s="10" t="s">
        <v>12</v>
      </c>
      <c r="D72" s="43">
        <v>46</v>
      </c>
      <c r="E72" s="3">
        <v>107</v>
      </c>
      <c r="F72" s="3">
        <v>94</v>
      </c>
      <c r="G72" s="4">
        <v>39</v>
      </c>
      <c r="H72" s="4">
        <v>78</v>
      </c>
      <c r="I72" s="4">
        <v>95</v>
      </c>
      <c r="J72" s="4">
        <v>203</v>
      </c>
      <c r="K72" s="17"/>
      <c r="L72" s="4">
        <v>23</v>
      </c>
      <c r="M72" s="4">
        <v>8</v>
      </c>
      <c r="N72" s="4">
        <v>25</v>
      </c>
    </row>
    <row r="73" spans="1:14" x14ac:dyDescent="0.25">
      <c r="A73" s="10" t="s">
        <v>57</v>
      </c>
      <c r="B73" s="4">
        <v>4</v>
      </c>
      <c r="C73" s="10" t="s">
        <v>12</v>
      </c>
      <c r="D73" s="43">
        <v>55</v>
      </c>
      <c r="E73" s="3">
        <v>165</v>
      </c>
      <c r="F73" s="3">
        <v>152</v>
      </c>
      <c r="G73" s="4">
        <v>206</v>
      </c>
      <c r="H73" s="4">
        <v>192</v>
      </c>
      <c r="I73" s="4">
        <v>160</v>
      </c>
      <c r="J73" s="4">
        <v>292</v>
      </c>
      <c r="K73" s="17"/>
      <c r="L73" s="4">
        <v>105</v>
      </c>
      <c r="M73" s="4">
        <v>129</v>
      </c>
      <c r="N73" s="4">
        <v>100</v>
      </c>
    </row>
    <row r="74" spans="1:14" x14ac:dyDescent="0.25">
      <c r="A74" s="10" t="s">
        <v>59</v>
      </c>
      <c r="B74" s="4">
        <v>5</v>
      </c>
      <c r="C74" s="10" t="s">
        <v>12</v>
      </c>
      <c r="D74" s="43">
        <v>47</v>
      </c>
      <c r="E74" s="3">
        <v>61</v>
      </c>
      <c r="F74" s="3">
        <v>113</v>
      </c>
      <c r="G74" s="4">
        <v>83</v>
      </c>
      <c r="H74" s="4">
        <v>109</v>
      </c>
      <c r="I74" s="4">
        <v>79</v>
      </c>
      <c r="J74" s="4">
        <v>161</v>
      </c>
      <c r="K74" s="17"/>
      <c r="L74" s="4">
        <v>149</v>
      </c>
      <c r="M74" s="4">
        <v>94</v>
      </c>
      <c r="N74" s="4">
        <v>119</v>
      </c>
    </row>
    <row r="75" spans="1:14" x14ac:dyDescent="0.25">
      <c r="A75" s="10" t="s">
        <v>62</v>
      </c>
      <c r="B75" s="4">
        <v>6</v>
      </c>
      <c r="C75" s="10" t="s">
        <v>12</v>
      </c>
      <c r="D75" s="43">
        <v>29</v>
      </c>
      <c r="E75" s="3">
        <v>65</v>
      </c>
      <c r="F75" s="3">
        <v>78</v>
      </c>
      <c r="G75" s="4">
        <v>64</v>
      </c>
      <c r="H75" s="4">
        <v>99</v>
      </c>
      <c r="I75" s="4">
        <v>56</v>
      </c>
      <c r="J75" s="4">
        <v>102</v>
      </c>
      <c r="K75" s="17"/>
      <c r="L75" s="4">
        <v>153</v>
      </c>
      <c r="M75" s="4">
        <v>151</v>
      </c>
      <c r="N75" s="4">
        <v>231</v>
      </c>
    </row>
    <row r="76" spans="1:14" x14ac:dyDescent="0.25">
      <c r="A76" s="10" t="s">
        <v>65</v>
      </c>
      <c r="B76" s="4">
        <v>7</v>
      </c>
      <c r="C76" s="10" t="s">
        <v>12</v>
      </c>
      <c r="D76" s="43">
        <v>34</v>
      </c>
      <c r="E76" s="3">
        <v>69</v>
      </c>
      <c r="F76" s="3">
        <v>42</v>
      </c>
      <c r="G76" s="4">
        <v>41</v>
      </c>
      <c r="H76" s="4">
        <v>40</v>
      </c>
      <c r="I76" s="4">
        <v>36</v>
      </c>
      <c r="J76" s="4">
        <v>69</v>
      </c>
      <c r="K76" s="17"/>
      <c r="L76" s="4">
        <v>45</v>
      </c>
      <c r="M76" s="4">
        <v>37</v>
      </c>
      <c r="N76" s="4">
        <v>39</v>
      </c>
    </row>
    <row r="77" spans="1:14" x14ac:dyDescent="0.25">
      <c r="A77" s="10" t="s">
        <v>68</v>
      </c>
      <c r="B77" s="4">
        <v>8</v>
      </c>
      <c r="C77" s="10" t="s">
        <v>19</v>
      </c>
      <c r="D77" s="43">
        <v>20</v>
      </c>
      <c r="E77" s="3">
        <v>59</v>
      </c>
      <c r="F77" s="3">
        <v>17</v>
      </c>
      <c r="G77" s="4">
        <v>4</v>
      </c>
      <c r="H77" s="4">
        <v>9</v>
      </c>
      <c r="I77" s="4">
        <v>2</v>
      </c>
      <c r="J77" s="4">
        <v>0</v>
      </c>
      <c r="K77" s="17"/>
      <c r="L77" s="46">
        <v>1</v>
      </c>
      <c r="M77" s="4">
        <v>0</v>
      </c>
      <c r="N77" s="4">
        <v>0</v>
      </c>
    </row>
    <row r="78" spans="1:14" x14ac:dyDescent="0.25">
      <c r="A78" s="10" t="s">
        <v>70</v>
      </c>
      <c r="B78" s="4">
        <v>9</v>
      </c>
      <c r="C78" s="10" t="s">
        <v>19</v>
      </c>
      <c r="D78" s="43">
        <v>40</v>
      </c>
      <c r="E78" s="3">
        <v>39</v>
      </c>
      <c r="F78" s="3">
        <v>19</v>
      </c>
      <c r="G78" s="4">
        <v>8</v>
      </c>
      <c r="H78" s="4">
        <v>9</v>
      </c>
      <c r="I78" s="30">
        <v>7</v>
      </c>
      <c r="J78" s="4">
        <v>6</v>
      </c>
      <c r="K78" s="17"/>
      <c r="L78" s="4">
        <v>6</v>
      </c>
      <c r="M78" s="4">
        <v>10</v>
      </c>
      <c r="N78" s="4">
        <v>6</v>
      </c>
    </row>
    <row r="79" spans="1:14" x14ac:dyDescent="0.25">
      <c r="A79" s="10" t="s">
        <v>73</v>
      </c>
      <c r="B79" s="4">
        <v>10</v>
      </c>
      <c r="C79" s="10" t="s">
        <v>19</v>
      </c>
      <c r="D79" s="43">
        <v>29</v>
      </c>
      <c r="E79" s="3">
        <v>19</v>
      </c>
      <c r="F79" s="3">
        <v>37</v>
      </c>
      <c r="G79" s="4">
        <v>8</v>
      </c>
      <c r="H79" s="4">
        <v>8</v>
      </c>
      <c r="I79" s="4">
        <v>4</v>
      </c>
      <c r="J79" s="4">
        <v>6</v>
      </c>
      <c r="K79" s="17"/>
      <c r="L79" s="4">
        <v>5</v>
      </c>
      <c r="M79" s="52">
        <v>12</v>
      </c>
      <c r="N79" s="46">
        <v>5</v>
      </c>
    </row>
    <row r="80" spans="1:14" x14ac:dyDescent="0.25">
      <c r="A80" s="10" t="s">
        <v>75</v>
      </c>
      <c r="B80" s="4">
        <v>11</v>
      </c>
      <c r="C80" s="10" t="s">
        <v>19</v>
      </c>
      <c r="D80" s="43">
        <v>7</v>
      </c>
      <c r="E80" s="3">
        <v>67</v>
      </c>
      <c r="F80" s="3">
        <v>58</v>
      </c>
      <c r="G80" s="46">
        <v>25</v>
      </c>
      <c r="H80" s="38">
        <v>1</v>
      </c>
      <c r="I80" s="50"/>
      <c r="J80" s="50"/>
      <c r="K80" s="17"/>
      <c r="L80" s="50"/>
      <c r="M80" s="50"/>
      <c r="N80" s="50"/>
    </row>
    <row r="81" spans="1:14" x14ac:dyDescent="0.25">
      <c r="A81" s="10" t="s">
        <v>78</v>
      </c>
      <c r="B81" s="4">
        <v>12</v>
      </c>
      <c r="C81" s="10" t="s">
        <v>12</v>
      </c>
      <c r="D81" s="44">
        <v>44</v>
      </c>
      <c r="E81" s="3">
        <v>50</v>
      </c>
      <c r="F81" s="3">
        <v>69</v>
      </c>
      <c r="G81" s="4">
        <v>31</v>
      </c>
      <c r="H81" s="4">
        <v>58</v>
      </c>
      <c r="I81" s="4">
        <v>35</v>
      </c>
      <c r="J81" s="4">
        <v>39</v>
      </c>
      <c r="K81" s="17"/>
      <c r="L81" s="4">
        <v>35</v>
      </c>
      <c r="M81" s="4">
        <v>7</v>
      </c>
      <c r="N81" s="52">
        <v>20</v>
      </c>
    </row>
    <row r="82" spans="1:14" x14ac:dyDescent="0.25">
      <c r="A82" s="10" t="s">
        <v>79</v>
      </c>
      <c r="B82" s="4">
        <v>13</v>
      </c>
      <c r="C82" s="10" t="s">
        <v>12</v>
      </c>
      <c r="D82" s="43">
        <v>36</v>
      </c>
      <c r="E82" s="3">
        <v>48</v>
      </c>
      <c r="F82" s="3">
        <v>59</v>
      </c>
      <c r="G82" s="4">
        <v>65</v>
      </c>
      <c r="H82" s="4">
        <v>125</v>
      </c>
      <c r="I82" s="4">
        <v>101</v>
      </c>
      <c r="J82" s="4">
        <v>192</v>
      </c>
      <c r="K82" s="17"/>
      <c r="L82" s="52">
        <v>73</v>
      </c>
      <c r="M82" s="52">
        <v>91</v>
      </c>
      <c r="N82" s="4">
        <v>101</v>
      </c>
    </row>
    <row r="83" spans="1:14" x14ac:dyDescent="0.25">
      <c r="A83" s="10" t="s">
        <v>80</v>
      </c>
      <c r="B83" s="4">
        <v>14</v>
      </c>
      <c r="C83" s="10" t="s">
        <v>12</v>
      </c>
      <c r="D83" s="43">
        <v>64</v>
      </c>
      <c r="E83" s="3">
        <v>57</v>
      </c>
      <c r="F83" s="3">
        <v>94</v>
      </c>
      <c r="G83" s="4">
        <v>77</v>
      </c>
      <c r="H83" s="4">
        <v>40</v>
      </c>
      <c r="I83" s="4">
        <v>34</v>
      </c>
      <c r="J83" s="4">
        <v>23</v>
      </c>
      <c r="K83" s="17"/>
      <c r="L83" s="4">
        <v>45</v>
      </c>
      <c r="M83" s="4">
        <v>19</v>
      </c>
      <c r="N83" s="4">
        <v>31</v>
      </c>
    </row>
    <row r="84" spans="1:14" x14ac:dyDescent="0.25">
      <c r="A84" s="10" t="s">
        <v>81</v>
      </c>
      <c r="B84" s="4">
        <v>15</v>
      </c>
      <c r="C84" s="10" t="s">
        <v>12</v>
      </c>
      <c r="D84" s="43">
        <v>77</v>
      </c>
      <c r="E84" s="3">
        <v>127</v>
      </c>
      <c r="F84" s="3">
        <v>325</v>
      </c>
      <c r="G84" s="4">
        <v>566</v>
      </c>
      <c r="H84" s="4">
        <v>498</v>
      </c>
      <c r="I84" s="4">
        <v>406</v>
      </c>
      <c r="J84" s="4">
        <v>538</v>
      </c>
      <c r="K84" s="17"/>
      <c r="L84" s="4">
        <v>293</v>
      </c>
      <c r="M84" s="4">
        <v>223</v>
      </c>
      <c r="N84" s="4">
        <v>223</v>
      </c>
    </row>
    <row r="85" spans="1:14" x14ac:dyDescent="0.25">
      <c r="A85" s="10" t="s">
        <v>82</v>
      </c>
      <c r="B85" s="4">
        <v>16</v>
      </c>
      <c r="C85" s="10" t="s">
        <v>12</v>
      </c>
      <c r="D85" s="42">
        <v>65</v>
      </c>
      <c r="E85" s="42">
        <v>50</v>
      </c>
      <c r="F85" s="42">
        <v>47</v>
      </c>
      <c r="G85" s="42">
        <v>56</v>
      </c>
      <c r="H85" s="30">
        <v>38</v>
      </c>
      <c r="I85" s="4">
        <v>24</v>
      </c>
      <c r="J85" s="4">
        <v>4</v>
      </c>
      <c r="K85" s="17"/>
      <c r="L85" s="30">
        <v>10</v>
      </c>
      <c r="M85" s="4">
        <v>6</v>
      </c>
      <c r="N85" s="4">
        <v>6</v>
      </c>
    </row>
    <row r="86" spans="1:14" x14ac:dyDescent="0.25">
      <c r="B86" s="7"/>
      <c r="D86" s="29"/>
      <c r="E86" s="29"/>
      <c r="F86" s="29"/>
      <c r="G86" s="29"/>
      <c r="H86" s="7"/>
      <c r="I86" s="7"/>
      <c r="J86" s="7"/>
      <c r="K86" s="7"/>
      <c r="L86" s="7"/>
      <c r="M86" s="7"/>
      <c r="N86" s="7"/>
    </row>
    <row r="88" spans="1:14" x14ac:dyDescent="0.25">
      <c r="A88" s="7"/>
      <c r="B88" s="7"/>
      <c r="C88" s="7" t="s">
        <v>201</v>
      </c>
      <c r="D88" s="11" t="s">
        <v>217</v>
      </c>
      <c r="E88" s="11" t="s">
        <v>217</v>
      </c>
      <c r="F88" s="11" t="s">
        <v>217</v>
      </c>
      <c r="G88" s="11" t="s">
        <v>217</v>
      </c>
      <c r="H88" s="11" t="s">
        <v>217</v>
      </c>
      <c r="I88" s="11" t="s">
        <v>217</v>
      </c>
      <c r="J88" s="11" t="s">
        <v>217</v>
      </c>
      <c r="K88" s="11" t="s">
        <v>217</v>
      </c>
      <c r="L88" s="11" t="s">
        <v>217</v>
      </c>
      <c r="M88" s="11" t="s">
        <v>217</v>
      </c>
    </row>
    <row r="89" spans="1:14" x14ac:dyDescent="0.25">
      <c r="A89" s="14" t="s">
        <v>220</v>
      </c>
      <c r="B89" s="7"/>
      <c r="C89" s="7"/>
      <c r="D89" s="14" t="s">
        <v>204</v>
      </c>
      <c r="E89" s="14" t="s">
        <v>205</v>
      </c>
      <c r="F89" s="14" t="s">
        <v>206</v>
      </c>
      <c r="G89" s="14" t="s">
        <v>207</v>
      </c>
      <c r="H89" s="14" t="s">
        <v>208</v>
      </c>
      <c r="I89" s="14" t="s">
        <v>210</v>
      </c>
      <c r="J89" s="14" t="s">
        <v>211</v>
      </c>
      <c r="K89" s="14" t="s">
        <v>209</v>
      </c>
      <c r="L89" s="14" t="s">
        <v>212</v>
      </c>
      <c r="M89" s="14" t="s">
        <v>213</v>
      </c>
      <c r="N89" s="14" t="s">
        <v>214</v>
      </c>
    </row>
    <row r="90" spans="1:14" x14ac:dyDescent="0.25">
      <c r="A90" s="7" t="s">
        <v>215</v>
      </c>
      <c r="B90" s="7" t="s">
        <v>216</v>
      </c>
      <c r="C90" s="7" t="s">
        <v>8</v>
      </c>
      <c r="D90" s="8">
        <v>44312</v>
      </c>
      <c r="E90" s="8">
        <v>44313</v>
      </c>
      <c r="F90" s="8">
        <v>44314</v>
      </c>
      <c r="G90" s="8">
        <v>44315</v>
      </c>
      <c r="H90" s="8">
        <v>44316</v>
      </c>
      <c r="I90" s="8">
        <v>44317</v>
      </c>
      <c r="J90" s="8">
        <v>44318</v>
      </c>
      <c r="K90" s="8">
        <v>44319</v>
      </c>
      <c r="L90" s="8">
        <v>44320</v>
      </c>
      <c r="M90" s="8">
        <v>44321</v>
      </c>
      <c r="N90" s="8">
        <v>44322</v>
      </c>
    </row>
    <row r="91" spans="1:14" x14ac:dyDescent="0.25">
      <c r="A91" s="10" t="s">
        <v>50</v>
      </c>
      <c r="B91" s="4">
        <v>1</v>
      </c>
      <c r="C91" s="10" t="s">
        <v>12</v>
      </c>
      <c r="D91" s="42">
        <v>50</v>
      </c>
      <c r="E91" s="3">
        <v>39</v>
      </c>
      <c r="F91" s="3">
        <v>26</v>
      </c>
      <c r="G91" s="4">
        <v>467</v>
      </c>
      <c r="H91" s="30">
        <v>90</v>
      </c>
      <c r="I91" s="4">
        <v>2</v>
      </c>
      <c r="J91" s="4">
        <v>0</v>
      </c>
      <c r="K91" s="17"/>
      <c r="L91" s="4">
        <v>0</v>
      </c>
      <c r="M91" s="4">
        <v>120</v>
      </c>
      <c r="N91" s="4">
        <v>287</v>
      </c>
    </row>
    <row r="92" spans="1:14" x14ac:dyDescent="0.25">
      <c r="A92" s="10" t="s">
        <v>53</v>
      </c>
      <c r="B92" s="4">
        <v>2</v>
      </c>
      <c r="C92" s="10" t="s">
        <v>12</v>
      </c>
      <c r="D92" s="43">
        <v>17</v>
      </c>
      <c r="E92" s="3">
        <v>5</v>
      </c>
      <c r="F92" s="3">
        <v>14</v>
      </c>
      <c r="G92" s="4">
        <v>17</v>
      </c>
      <c r="H92" s="4">
        <v>12</v>
      </c>
      <c r="I92" s="4">
        <v>8</v>
      </c>
      <c r="J92" s="4">
        <v>3</v>
      </c>
      <c r="K92" s="17"/>
      <c r="L92" s="30">
        <v>5</v>
      </c>
      <c r="M92" s="4">
        <v>8</v>
      </c>
      <c r="N92" s="4">
        <v>5</v>
      </c>
    </row>
    <row r="93" spans="1:14" x14ac:dyDescent="0.25">
      <c r="A93" s="10" t="s">
        <v>55</v>
      </c>
      <c r="B93" s="4">
        <v>3</v>
      </c>
      <c r="C93" s="10" t="s">
        <v>12</v>
      </c>
      <c r="D93" s="43">
        <v>14</v>
      </c>
      <c r="E93" s="3">
        <v>49</v>
      </c>
      <c r="F93" s="3">
        <v>2</v>
      </c>
      <c r="G93" s="4">
        <v>8</v>
      </c>
      <c r="H93" s="4">
        <v>6</v>
      </c>
      <c r="I93" s="4">
        <v>2</v>
      </c>
      <c r="J93" s="4">
        <v>1</v>
      </c>
      <c r="K93" s="17"/>
      <c r="L93" s="4">
        <v>1</v>
      </c>
      <c r="M93" s="4">
        <v>13</v>
      </c>
      <c r="N93" s="4">
        <v>4</v>
      </c>
    </row>
    <row r="94" spans="1:14" x14ac:dyDescent="0.25">
      <c r="A94" s="10" t="s">
        <v>57</v>
      </c>
      <c r="B94" s="4">
        <v>4</v>
      </c>
      <c r="C94" s="10" t="s">
        <v>12</v>
      </c>
      <c r="D94" s="43">
        <v>34</v>
      </c>
      <c r="E94" s="3">
        <v>168</v>
      </c>
      <c r="F94" s="3">
        <v>49</v>
      </c>
      <c r="G94" s="4">
        <v>10</v>
      </c>
      <c r="H94" s="4">
        <v>5</v>
      </c>
      <c r="I94" s="4">
        <v>2</v>
      </c>
      <c r="J94" s="4">
        <v>206</v>
      </c>
      <c r="K94" s="17"/>
      <c r="L94" s="4">
        <v>7</v>
      </c>
      <c r="M94" s="4">
        <v>27</v>
      </c>
      <c r="N94" s="4">
        <v>20</v>
      </c>
    </row>
    <row r="95" spans="1:14" x14ac:dyDescent="0.25">
      <c r="A95" s="10" t="s">
        <v>59</v>
      </c>
      <c r="B95" s="4">
        <v>5</v>
      </c>
      <c r="C95" s="10" t="s">
        <v>12</v>
      </c>
      <c r="D95" s="43">
        <v>13</v>
      </c>
      <c r="E95" s="3">
        <v>2</v>
      </c>
      <c r="F95" s="3">
        <v>52</v>
      </c>
      <c r="G95" s="4">
        <v>19</v>
      </c>
      <c r="H95" s="4">
        <v>7</v>
      </c>
      <c r="I95" s="4">
        <v>0</v>
      </c>
      <c r="J95" s="4">
        <v>4</v>
      </c>
      <c r="K95" s="17"/>
      <c r="L95" s="4">
        <v>17</v>
      </c>
      <c r="M95" s="4">
        <v>23</v>
      </c>
      <c r="N95" s="4">
        <v>20</v>
      </c>
    </row>
    <row r="96" spans="1:14" x14ac:dyDescent="0.25">
      <c r="A96" s="10" t="s">
        <v>62</v>
      </c>
      <c r="B96" s="4">
        <v>6</v>
      </c>
      <c r="C96" s="10" t="s">
        <v>12</v>
      </c>
      <c r="D96" s="43">
        <v>6</v>
      </c>
      <c r="E96" s="3">
        <v>19</v>
      </c>
      <c r="F96" s="3">
        <v>22</v>
      </c>
      <c r="G96" s="4">
        <v>17</v>
      </c>
      <c r="H96" s="4">
        <v>6</v>
      </c>
      <c r="I96" s="4">
        <v>4</v>
      </c>
      <c r="J96" s="4">
        <v>1</v>
      </c>
      <c r="K96" s="17"/>
      <c r="L96" s="4">
        <v>9</v>
      </c>
      <c r="M96" s="4">
        <v>11</v>
      </c>
      <c r="N96" s="4">
        <v>22</v>
      </c>
    </row>
    <row r="97" spans="1:14" x14ac:dyDescent="0.25">
      <c r="A97" s="10" t="s">
        <v>65</v>
      </c>
      <c r="B97" s="4">
        <v>7</v>
      </c>
      <c r="C97" s="10" t="s">
        <v>12</v>
      </c>
      <c r="D97" s="43">
        <v>14</v>
      </c>
      <c r="E97" s="3">
        <v>12</v>
      </c>
      <c r="F97" s="3">
        <v>6</v>
      </c>
      <c r="G97" s="4">
        <v>63</v>
      </c>
      <c r="H97" s="4">
        <v>48</v>
      </c>
      <c r="I97" s="4">
        <v>5</v>
      </c>
      <c r="J97" s="4">
        <v>13</v>
      </c>
      <c r="K97" s="17"/>
      <c r="L97" s="4">
        <v>11</v>
      </c>
      <c r="M97" s="4">
        <v>13</v>
      </c>
      <c r="N97" s="4">
        <v>7</v>
      </c>
    </row>
    <row r="98" spans="1:14" x14ac:dyDescent="0.25">
      <c r="A98" s="10" t="s">
        <v>68</v>
      </c>
      <c r="B98" s="4">
        <v>8</v>
      </c>
      <c r="C98" s="10" t="s">
        <v>19</v>
      </c>
      <c r="D98" s="43">
        <v>9</v>
      </c>
      <c r="E98" s="3">
        <v>16</v>
      </c>
      <c r="F98" s="3">
        <v>5</v>
      </c>
      <c r="G98" s="4">
        <v>2</v>
      </c>
      <c r="H98" s="4">
        <v>1</v>
      </c>
      <c r="I98" s="4">
        <v>4</v>
      </c>
      <c r="J98" s="4">
        <v>0</v>
      </c>
      <c r="K98" s="17"/>
      <c r="L98" s="46">
        <v>1</v>
      </c>
      <c r="M98" s="4">
        <v>0</v>
      </c>
      <c r="N98" s="4">
        <v>1</v>
      </c>
    </row>
    <row r="99" spans="1:14" x14ac:dyDescent="0.25">
      <c r="A99" s="10" t="s">
        <v>70</v>
      </c>
      <c r="B99" s="4">
        <v>9</v>
      </c>
      <c r="C99" s="10" t="s">
        <v>19</v>
      </c>
      <c r="D99" s="43">
        <v>49</v>
      </c>
      <c r="E99" s="3">
        <v>38</v>
      </c>
      <c r="F99" s="3">
        <v>10</v>
      </c>
      <c r="G99" s="4">
        <v>2</v>
      </c>
      <c r="H99" s="4">
        <v>3</v>
      </c>
      <c r="I99" s="30">
        <v>4</v>
      </c>
      <c r="J99" s="4">
        <v>20</v>
      </c>
      <c r="K99" s="17"/>
      <c r="L99" s="4">
        <v>5</v>
      </c>
      <c r="M99" s="4">
        <v>1</v>
      </c>
      <c r="N99" s="4">
        <v>57</v>
      </c>
    </row>
    <row r="100" spans="1:14" x14ac:dyDescent="0.25">
      <c r="A100" s="10" t="s">
        <v>73</v>
      </c>
      <c r="B100" s="4">
        <v>10</v>
      </c>
      <c r="C100" s="10" t="s">
        <v>19</v>
      </c>
      <c r="D100" s="43">
        <v>15</v>
      </c>
      <c r="E100" s="3">
        <v>10</v>
      </c>
      <c r="F100" s="3">
        <v>4</v>
      </c>
      <c r="G100" s="4">
        <v>6</v>
      </c>
      <c r="H100" s="4">
        <v>6</v>
      </c>
      <c r="I100" s="4">
        <v>3</v>
      </c>
      <c r="J100" s="4">
        <v>1</v>
      </c>
      <c r="K100" s="17"/>
      <c r="L100" s="4">
        <v>0</v>
      </c>
      <c r="M100" s="52">
        <v>3</v>
      </c>
      <c r="N100" s="46">
        <v>4</v>
      </c>
    </row>
    <row r="101" spans="1:14" x14ac:dyDescent="0.25">
      <c r="A101" s="10" t="s">
        <v>75</v>
      </c>
      <c r="B101" s="4">
        <v>11</v>
      </c>
      <c r="C101" s="10" t="s">
        <v>19</v>
      </c>
      <c r="D101" s="43">
        <v>61</v>
      </c>
      <c r="E101" s="3">
        <v>23</v>
      </c>
      <c r="F101" s="3">
        <v>55</v>
      </c>
      <c r="G101" s="46">
        <v>18</v>
      </c>
      <c r="H101" s="38">
        <v>2</v>
      </c>
      <c r="I101" s="50"/>
      <c r="J101" s="50"/>
      <c r="K101" s="17"/>
      <c r="L101" s="50"/>
      <c r="M101" s="50"/>
      <c r="N101" s="50"/>
    </row>
    <row r="102" spans="1:14" x14ac:dyDescent="0.25">
      <c r="A102" s="10" t="s">
        <v>78</v>
      </c>
      <c r="B102" s="4">
        <v>12</v>
      </c>
      <c r="C102" s="10" t="s">
        <v>12</v>
      </c>
      <c r="D102" s="44">
        <v>25</v>
      </c>
      <c r="E102" s="3">
        <v>7</v>
      </c>
      <c r="F102" s="3">
        <v>16</v>
      </c>
      <c r="G102" s="4">
        <v>3</v>
      </c>
      <c r="H102" s="4">
        <v>2</v>
      </c>
      <c r="I102" s="4">
        <v>8</v>
      </c>
      <c r="J102" s="4">
        <v>10</v>
      </c>
      <c r="K102" s="17"/>
      <c r="L102" s="4">
        <v>6</v>
      </c>
      <c r="M102" s="4">
        <v>4</v>
      </c>
      <c r="N102" s="52">
        <v>0</v>
      </c>
    </row>
    <row r="103" spans="1:14" x14ac:dyDescent="0.25">
      <c r="A103" s="10" t="s">
        <v>79</v>
      </c>
      <c r="B103" s="4">
        <v>13</v>
      </c>
      <c r="C103" s="10" t="s">
        <v>12</v>
      </c>
      <c r="D103" s="43">
        <v>47</v>
      </c>
      <c r="E103" s="3">
        <v>2</v>
      </c>
      <c r="F103" s="3">
        <v>6</v>
      </c>
      <c r="G103" s="4">
        <v>23</v>
      </c>
      <c r="H103" s="4">
        <v>13</v>
      </c>
      <c r="I103" s="4">
        <v>8</v>
      </c>
      <c r="J103" s="4">
        <v>17</v>
      </c>
      <c r="K103" s="17"/>
      <c r="L103" s="52">
        <v>15</v>
      </c>
      <c r="M103" s="52">
        <v>28</v>
      </c>
      <c r="N103" s="4">
        <v>56</v>
      </c>
    </row>
    <row r="104" spans="1:14" x14ac:dyDescent="0.25">
      <c r="A104" s="10" t="s">
        <v>80</v>
      </c>
      <c r="B104" s="4">
        <v>14</v>
      </c>
      <c r="C104" s="10" t="s">
        <v>12</v>
      </c>
      <c r="D104" s="43">
        <v>50</v>
      </c>
      <c r="E104" s="3">
        <v>29</v>
      </c>
      <c r="F104" s="3">
        <v>27</v>
      </c>
      <c r="G104" s="4">
        <v>21</v>
      </c>
      <c r="H104" s="4">
        <v>37</v>
      </c>
      <c r="I104" s="4">
        <v>4</v>
      </c>
      <c r="J104" s="4">
        <v>11</v>
      </c>
      <c r="K104" s="17"/>
      <c r="L104" s="4">
        <v>20</v>
      </c>
      <c r="M104" s="4">
        <v>3</v>
      </c>
      <c r="N104" s="4">
        <v>10</v>
      </c>
    </row>
    <row r="105" spans="1:14" x14ac:dyDescent="0.25">
      <c r="A105" s="10" t="s">
        <v>81</v>
      </c>
      <c r="B105" s="4">
        <v>15</v>
      </c>
      <c r="C105" s="10" t="s">
        <v>12</v>
      </c>
      <c r="D105" s="43">
        <v>10</v>
      </c>
      <c r="E105" s="3">
        <v>6</v>
      </c>
      <c r="F105" s="3">
        <v>27</v>
      </c>
      <c r="G105" s="4">
        <v>20</v>
      </c>
      <c r="H105" s="4">
        <v>20</v>
      </c>
      <c r="I105" s="4">
        <v>25</v>
      </c>
      <c r="J105" s="4">
        <v>16</v>
      </c>
      <c r="K105" s="17"/>
      <c r="L105" s="4">
        <v>58</v>
      </c>
      <c r="M105" s="4">
        <v>38</v>
      </c>
      <c r="N105" s="4">
        <v>31</v>
      </c>
    </row>
    <row r="106" spans="1:14" x14ac:dyDescent="0.25">
      <c r="A106" s="10" t="s">
        <v>82</v>
      </c>
      <c r="B106" s="4">
        <v>16</v>
      </c>
      <c r="C106" s="10" t="s">
        <v>12</v>
      </c>
      <c r="D106" s="42">
        <v>126</v>
      </c>
      <c r="E106" s="42">
        <v>16</v>
      </c>
      <c r="F106" s="42">
        <v>15</v>
      </c>
      <c r="G106" s="42">
        <v>13</v>
      </c>
      <c r="H106" s="48">
        <v>14</v>
      </c>
      <c r="I106" s="4">
        <v>15</v>
      </c>
      <c r="J106" s="4">
        <v>3</v>
      </c>
      <c r="K106" s="17"/>
      <c r="L106" s="30">
        <v>24</v>
      </c>
      <c r="M106" s="4">
        <v>5</v>
      </c>
      <c r="N106" s="4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3BAC-7FAC-40A1-99E7-D56CFB91367C}">
  <dimension ref="A2:AZ53"/>
  <sheetViews>
    <sheetView topLeftCell="A28" workbookViewId="0">
      <selection activeCell="D42" sqref="D42:M43"/>
    </sheetView>
  </sheetViews>
  <sheetFormatPr defaultRowHeight="15" x14ac:dyDescent="0.25"/>
  <cols>
    <col min="1" max="1" width="19" bestFit="1" customWidth="1"/>
    <col min="2" max="2" width="13.28515625" bestFit="1" customWidth="1"/>
    <col min="4" max="4" width="10.140625" customWidth="1"/>
    <col min="5" max="5" width="10" customWidth="1"/>
    <col min="6" max="6" width="10.28515625" customWidth="1"/>
    <col min="7" max="7" width="10.140625" customWidth="1"/>
    <col min="8" max="8" width="10.5703125" customWidth="1"/>
    <col min="14" max="14" width="13" bestFit="1" customWidth="1"/>
    <col min="22" max="22" width="9.7109375" customWidth="1"/>
    <col min="23" max="26" width="9.85546875" bestFit="1" customWidth="1"/>
    <col min="32" max="32" width="13" bestFit="1" customWidth="1"/>
    <col min="40" max="44" width="9.85546875" bestFit="1" customWidth="1"/>
    <col min="50" max="50" width="13" bestFit="1" customWidth="1"/>
  </cols>
  <sheetData>
    <row r="2" spans="1:22" x14ac:dyDescent="0.25">
      <c r="A2" t="s">
        <v>9</v>
      </c>
      <c r="D2" t="s">
        <v>228</v>
      </c>
      <c r="S2" t="s">
        <v>9</v>
      </c>
      <c r="V2" t="s">
        <v>228</v>
      </c>
    </row>
    <row r="3" spans="1:22" x14ac:dyDescent="0.25">
      <c r="A3" t="s">
        <v>51</v>
      </c>
      <c r="B3" t="s">
        <v>52</v>
      </c>
      <c r="D3" t="s">
        <v>231</v>
      </c>
      <c r="S3" t="s">
        <v>51</v>
      </c>
      <c r="T3" t="s">
        <v>52</v>
      </c>
      <c r="V3" t="s">
        <v>231</v>
      </c>
    </row>
    <row r="4" spans="1:22" x14ac:dyDescent="0.25">
      <c r="A4" t="s">
        <v>54</v>
      </c>
      <c r="B4" t="s">
        <v>17</v>
      </c>
      <c r="D4" t="s">
        <v>232</v>
      </c>
      <c r="S4" t="s">
        <v>54</v>
      </c>
      <c r="T4" t="s">
        <v>17</v>
      </c>
      <c r="V4" t="s">
        <v>232</v>
      </c>
    </row>
    <row r="5" spans="1:22" x14ac:dyDescent="0.25">
      <c r="A5" t="s">
        <v>56</v>
      </c>
      <c r="B5" t="s">
        <v>17</v>
      </c>
      <c r="D5" t="s">
        <v>233</v>
      </c>
      <c r="S5" t="s">
        <v>56</v>
      </c>
      <c r="T5" t="s">
        <v>17</v>
      </c>
      <c r="V5" t="s">
        <v>233</v>
      </c>
    </row>
    <row r="6" spans="1:22" x14ac:dyDescent="0.25">
      <c r="A6" t="s">
        <v>58</v>
      </c>
      <c r="B6" t="s">
        <v>17</v>
      </c>
      <c r="S6" t="s">
        <v>58</v>
      </c>
      <c r="T6" t="s">
        <v>17</v>
      </c>
    </row>
    <row r="7" spans="1:22" x14ac:dyDescent="0.25">
      <c r="A7" t="s">
        <v>60</v>
      </c>
      <c r="B7" t="s">
        <v>61</v>
      </c>
      <c r="S7" t="s">
        <v>60</v>
      </c>
      <c r="T7" t="s">
        <v>61</v>
      </c>
    </row>
    <row r="8" spans="1:22" x14ac:dyDescent="0.25">
      <c r="A8" t="s">
        <v>63</v>
      </c>
      <c r="B8" t="s">
        <v>64</v>
      </c>
      <c r="S8" t="s">
        <v>63</v>
      </c>
      <c r="T8" t="s">
        <v>64</v>
      </c>
    </row>
    <row r="9" spans="1:22" x14ac:dyDescent="0.25">
      <c r="A9" t="s">
        <v>66</v>
      </c>
      <c r="B9" t="s">
        <v>67</v>
      </c>
      <c r="S9" t="s">
        <v>66</v>
      </c>
      <c r="T9" t="s">
        <v>67</v>
      </c>
    </row>
    <row r="10" spans="1:22" x14ac:dyDescent="0.25">
      <c r="A10" t="s">
        <v>69</v>
      </c>
      <c r="B10" t="s">
        <v>17</v>
      </c>
      <c r="S10" t="s">
        <v>69</v>
      </c>
      <c r="T10" t="s">
        <v>17</v>
      </c>
    </row>
    <row r="11" spans="1:22" x14ac:dyDescent="0.25">
      <c r="A11" t="s">
        <v>71</v>
      </c>
      <c r="B11" t="s">
        <v>72</v>
      </c>
      <c r="S11" t="s">
        <v>71</v>
      </c>
      <c r="T11" t="s">
        <v>72</v>
      </c>
    </row>
    <row r="12" spans="1:22" x14ac:dyDescent="0.25">
      <c r="A12" t="s">
        <v>74</v>
      </c>
      <c r="B12" t="s">
        <v>17</v>
      </c>
      <c r="S12" t="s">
        <v>74</v>
      </c>
      <c r="T12" t="s">
        <v>17</v>
      </c>
    </row>
    <row r="13" spans="1:22" x14ac:dyDescent="0.25">
      <c r="A13" t="s">
        <v>76</v>
      </c>
      <c r="B13" t="s">
        <v>77</v>
      </c>
      <c r="S13" t="s">
        <v>76</v>
      </c>
      <c r="T13" t="s">
        <v>77</v>
      </c>
    </row>
    <row r="15" spans="1:22" ht="30" x14ac:dyDescent="0.25">
      <c r="A15" s="35" t="s">
        <v>234</v>
      </c>
      <c r="S15" s="35" t="s">
        <v>234</v>
      </c>
    </row>
    <row r="16" spans="1:22" ht="45" x14ac:dyDescent="0.25">
      <c r="A16" s="41" t="s">
        <v>235</v>
      </c>
      <c r="S16" s="41" t="s">
        <v>235</v>
      </c>
    </row>
    <row r="17" spans="1:52" ht="60" x14ac:dyDescent="0.25">
      <c r="A17" s="36" t="s">
        <v>236</v>
      </c>
      <c r="S17" s="36" t="s">
        <v>236</v>
      </c>
    </row>
    <row r="18" spans="1:52" x14ac:dyDescent="0.25">
      <c r="A18" s="47" t="s">
        <v>237</v>
      </c>
      <c r="S18" s="47" t="s">
        <v>237</v>
      </c>
    </row>
    <row r="19" spans="1:52" x14ac:dyDescent="0.25">
      <c r="A19" s="51" t="s">
        <v>238</v>
      </c>
      <c r="S19" s="51" t="s">
        <v>238</v>
      </c>
    </row>
    <row r="20" spans="1:52" x14ac:dyDescent="0.25">
      <c r="A20" s="49" t="s">
        <v>239</v>
      </c>
      <c r="S20" s="49" t="s">
        <v>239</v>
      </c>
    </row>
    <row r="22" spans="1:52" x14ac:dyDescent="0.25">
      <c r="A22" s="14" t="s">
        <v>218</v>
      </c>
      <c r="B22" s="7"/>
      <c r="C22" s="7"/>
      <c r="D22" s="14" t="s">
        <v>204</v>
      </c>
      <c r="E22" s="14" t="s">
        <v>205</v>
      </c>
      <c r="F22" s="14" t="s">
        <v>206</v>
      </c>
      <c r="G22" s="14" t="s">
        <v>207</v>
      </c>
      <c r="H22" s="14" t="s">
        <v>208</v>
      </c>
      <c r="I22" s="14" t="s">
        <v>210</v>
      </c>
      <c r="J22" s="14" t="s">
        <v>211</v>
      </c>
      <c r="K22" s="14" t="s">
        <v>212</v>
      </c>
      <c r="L22" s="14" t="s">
        <v>213</v>
      </c>
      <c r="M22" s="14" t="s">
        <v>214</v>
      </c>
      <c r="S22" s="14" t="s">
        <v>219</v>
      </c>
      <c r="T22" s="7"/>
      <c r="U22" s="7"/>
      <c r="V22" s="14" t="s">
        <v>204</v>
      </c>
      <c r="W22" s="14" t="s">
        <v>205</v>
      </c>
      <c r="X22" s="14" t="s">
        <v>206</v>
      </c>
      <c r="Y22" s="14" t="s">
        <v>207</v>
      </c>
      <c r="Z22" s="14" t="s">
        <v>208</v>
      </c>
      <c r="AA22" s="14" t="s">
        <v>210</v>
      </c>
      <c r="AB22" s="14" t="s">
        <v>211</v>
      </c>
      <c r="AC22" s="14" t="s">
        <v>212</v>
      </c>
      <c r="AD22" s="14" t="s">
        <v>213</v>
      </c>
      <c r="AE22" s="14" t="s">
        <v>214</v>
      </c>
      <c r="AK22" s="14" t="s">
        <v>220</v>
      </c>
      <c r="AL22" s="7"/>
      <c r="AM22" s="7"/>
      <c r="AN22" s="14" t="s">
        <v>204</v>
      </c>
      <c r="AO22" s="14" t="s">
        <v>205</v>
      </c>
      <c r="AP22" s="14" t="s">
        <v>206</v>
      </c>
      <c r="AQ22" s="14" t="s">
        <v>207</v>
      </c>
      <c r="AR22" s="14" t="s">
        <v>208</v>
      </c>
      <c r="AS22" s="14" t="s">
        <v>210</v>
      </c>
      <c r="AT22" s="14" t="s">
        <v>211</v>
      </c>
      <c r="AU22" s="14" t="s">
        <v>212</v>
      </c>
      <c r="AV22" s="14" t="s">
        <v>213</v>
      </c>
      <c r="AW22" s="14" t="s">
        <v>214</v>
      </c>
    </row>
    <row r="23" spans="1:52" x14ac:dyDescent="0.25">
      <c r="A23" s="7" t="s">
        <v>215</v>
      </c>
      <c r="B23" s="7" t="s">
        <v>216</v>
      </c>
      <c r="C23" s="7" t="s">
        <v>8</v>
      </c>
      <c r="D23" s="8">
        <v>44312</v>
      </c>
      <c r="E23" s="8">
        <v>44313</v>
      </c>
      <c r="F23" s="8">
        <v>44314</v>
      </c>
      <c r="G23" s="8">
        <v>44315</v>
      </c>
      <c r="H23" s="8">
        <v>44316</v>
      </c>
      <c r="I23" s="8">
        <v>44317</v>
      </c>
      <c r="J23" s="8">
        <v>44318</v>
      </c>
      <c r="K23" s="8">
        <v>44320</v>
      </c>
      <c r="L23" s="8">
        <v>44321</v>
      </c>
      <c r="M23" s="8">
        <v>44322</v>
      </c>
      <c r="N23" s="37" t="s">
        <v>221</v>
      </c>
      <c r="O23" s="37" t="s">
        <v>222</v>
      </c>
      <c r="P23" s="37" t="s">
        <v>8</v>
      </c>
      <c r="S23" s="7" t="s">
        <v>215</v>
      </c>
      <c r="T23" s="7" t="s">
        <v>216</v>
      </c>
      <c r="U23" s="7" t="s">
        <v>8</v>
      </c>
      <c r="V23" s="8">
        <v>44312</v>
      </c>
      <c r="W23" s="8">
        <v>44313</v>
      </c>
      <c r="X23" s="8">
        <v>44314</v>
      </c>
      <c r="Y23" s="8">
        <v>44315</v>
      </c>
      <c r="Z23" s="8">
        <v>44316</v>
      </c>
      <c r="AA23" s="8">
        <v>44317</v>
      </c>
      <c r="AB23" s="8">
        <v>44318</v>
      </c>
      <c r="AC23" s="8">
        <v>44320</v>
      </c>
      <c r="AD23" s="8">
        <v>44321</v>
      </c>
      <c r="AE23" s="8">
        <v>44322</v>
      </c>
      <c r="AF23" s="37" t="s">
        <v>221</v>
      </c>
      <c r="AG23" s="37" t="s">
        <v>222</v>
      </c>
      <c r="AH23" s="37" t="s">
        <v>8</v>
      </c>
      <c r="AK23" s="7" t="s">
        <v>215</v>
      </c>
      <c r="AL23" s="7" t="s">
        <v>216</v>
      </c>
      <c r="AM23" s="7" t="s">
        <v>8</v>
      </c>
      <c r="AN23" s="8">
        <v>44312</v>
      </c>
      <c r="AO23" s="8">
        <v>44313</v>
      </c>
      <c r="AP23" s="8">
        <v>44314</v>
      </c>
      <c r="AQ23" s="8">
        <v>44315</v>
      </c>
      <c r="AR23" s="8">
        <v>44316</v>
      </c>
      <c r="AS23" s="8">
        <v>44317</v>
      </c>
      <c r="AT23" s="8">
        <v>44318</v>
      </c>
      <c r="AU23" s="8">
        <v>44320</v>
      </c>
      <c r="AV23" s="8">
        <v>44321</v>
      </c>
      <c r="AW23" s="8">
        <v>44322</v>
      </c>
      <c r="AX23" s="37" t="s">
        <v>221</v>
      </c>
      <c r="AY23" s="37" t="s">
        <v>222</v>
      </c>
      <c r="AZ23" s="37" t="s">
        <v>8</v>
      </c>
    </row>
    <row r="24" spans="1:52" x14ac:dyDescent="0.25">
      <c r="A24" s="10" t="s">
        <v>50</v>
      </c>
      <c r="B24" s="4">
        <v>1</v>
      </c>
      <c r="C24" s="10" t="s">
        <v>12</v>
      </c>
      <c r="D24" s="42">
        <v>32</v>
      </c>
      <c r="E24" s="3">
        <v>45</v>
      </c>
      <c r="F24" s="3">
        <v>60</v>
      </c>
      <c r="G24" s="4">
        <v>75</v>
      </c>
      <c r="H24" s="30">
        <v>75</v>
      </c>
      <c r="I24" s="4">
        <v>75</v>
      </c>
      <c r="J24" s="4">
        <v>75</v>
      </c>
      <c r="K24" s="4">
        <v>75</v>
      </c>
      <c r="L24" s="4">
        <v>75</v>
      </c>
      <c r="M24" s="4">
        <v>75</v>
      </c>
      <c r="N24">
        <f>AVERAGE(K24:M24)</f>
        <v>75</v>
      </c>
      <c r="O24">
        <f>AVERAGE(D24:M24)</f>
        <v>66.2</v>
      </c>
      <c r="P24">
        <v>1</v>
      </c>
      <c r="S24" s="10" t="s">
        <v>50</v>
      </c>
      <c r="T24" s="4">
        <v>1</v>
      </c>
      <c r="U24" s="10" t="s">
        <v>12</v>
      </c>
      <c r="V24" s="42">
        <v>52</v>
      </c>
      <c r="W24" s="3">
        <v>52</v>
      </c>
      <c r="X24" s="3">
        <v>159</v>
      </c>
      <c r="Y24" s="4">
        <v>213</v>
      </c>
      <c r="Z24" s="30">
        <v>482</v>
      </c>
      <c r="AA24" s="4">
        <v>414</v>
      </c>
      <c r="AB24" s="4">
        <v>534</v>
      </c>
      <c r="AC24" s="30">
        <v>556</v>
      </c>
      <c r="AD24" s="4">
        <v>318</v>
      </c>
      <c r="AE24" s="4">
        <v>422</v>
      </c>
      <c r="AF24">
        <f>AVERAGE(AC24:AE24)</f>
        <v>432</v>
      </c>
      <c r="AG24">
        <f>AVERAGE(V24:AE24)</f>
        <v>320.2</v>
      </c>
      <c r="AH24">
        <v>1</v>
      </c>
      <c r="AK24" s="10" t="s">
        <v>50</v>
      </c>
      <c r="AL24" s="4">
        <v>1</v>
      </c>
      <c r="AM24" s="10" t="s">
        <v>12</v>
      </c>
      <c r="AN24" s="42">
        <v>50</v>
      </c>
      <c r="AO24" s="3">
        <v>39</v>
      </c>
      <c r="AP24" s="3">
        <v>26</v>
      </c>
      <c r="AQ24" s="4">
        <v>467</v>
      </c>
      <c r="AR24" s="30">
        <v>90</v>
      </c>
      <c r="AS24" s="4">
        <v>2</v>
      </c>
      <c r="AT24" s="4">
        <v>0</v>
      </c>
      <c r="AU24" s="4">
        <v>0</v>
      </c>
      <c r="AV24" s="4">
        <v>120</v>
      </c>
      <c r="AW24" s="4">
        <v>287</v>
      </c>
      <c r="AX24">
        <f>AVERAGE(AU24:AW24)</f>
        <v>135.66666666666666</v>
      </c>
      <c r="AY24">
        <f>AVERAGE(AN24:AW24)</f>
        <v>108.1</v>
      </c>
      <c r="AZ24">
        <v>1</v>
      </c>
    </row>
    <row r="25" spans="1:52" x14ac:dyDescent="0.25">
      <c r="A25" s="10" t="s">
        <v>53</v>
      </c>
      <c r="B25" s="4">
        <v>2</v>
      </c>
      <c r="C25" s="10" t="s">
        <v>12</v>
      </c>
      <c r="D25" s="43">
        <v>14</v>
      </c>
      <c r="E25" s="3">
        <v>33</v>
      </c>
      <c r="F25" s="3">
        <v>28</v>
      </c>
      <c r="G25" s="4">
        <v>29</v>
      </c>
      <c r="H25" s="4">
        <v>18</v>
      </c>
      <c r="I25" s="4">
        <v>24</v>
      </c>
      <c r="J25" s="4">
        <v>17</v>
      </c>
      <c r="K25" s="30">
        <v>19</v>
      </c>
      <c r="L25" s="4">
        <v>24</v>
      </c>
      <c r="M25" s="4">
        <v>38</v>
      </c>
      <c r="N25">
        <f>AVERAGE(K25:M25)</f>
        <v>27</v>
      </c>
      <c r="O25">
        <f>AVERAGE(D25:M25)</f>
        <v>24.4</v>
      </c>
      <c r="P25">
        <v>1</v>
      </c>
      <c r="S25" s="10" t="s">
        <v>53</v>
      </c>
      <c r="T25" s="4">
        <v>2</v>
      </c>
      <c r="U25" s="10" t="s">
        <v>12</v>
      </c>
      <c r="V25" s="43">
        <v>17</v>
      </c>
      <c r="W25" s="3">
        <v>45</v>
      </c>
      <c r="X25" s="3">
        <v>41</v>
      </c>
      <c r="Y25" s="4">
        <v>48</v>
      </c>
      <c r="Z25" s="4">
        <v>25</v>
      </c>
      <c r="AA25" s="4">
        <v>33</v>
      </c>
      <c r="AB25" s="4">
        <v>39</v>
      </c>
      <c r="AC25" s="4">
        <v>27</v>
      </c>
      <c r="AD25" s="4">
        <v>37</v>
      </c>
      <c r="AE25" s="4">
        <v>54</v>
      </c>
      <c r="AF25">
        <f>AVERAGE(AC25:AE25)</f>
        <v>39.333333333333336</v>
      </c>
      <c r="AG25">
        <f>AVERAGE(V25:AE25)</f>
        <v>36.6</v>
      </c>
      <c r="AH25">
        <v>1</v>
      </c>
      <c r="AK25" s="10" t="s">
        <v>53</v>
      </c>
      <c r="AL25" s="4">
        <v>2</v>
      </c>
      <c r="AM25" s="10" t="s">
        <v>12</v>
      </c>
      <c r="AN25" s="43">
        <v>17</v>
      </c>
      <c r="AO25" s="3">
        <v>5</v>
      </c>
      <c r="AP25" s="3">
        <v>14</v>
      </c>
      <c r="AQ25" s="4">
        <v>17</v>
      </c>
      <c r="AR25" s="4">
        <v>12</v>
      </c>
      <c r="AS25" s="4">
        <v>8</v>
      </c>
      <c r="AT25" s="4">
        <v>3</v>
      </c>
      <c r="AU25" s="30">
        <v>5</v>
      </c>
      <c r="AV25" s="4">
        <v>8</v>
      </c>
      <c r="AW25" s="4">
        <v>5</v>
      </c>
      <c r="AX25">
        <f>AVERAGE(AU25:AW25)</f>
        <v>6</v>
      </c>
      <c r="AY25">
        <f>AVERAGE(AN25:AW25)</f>
        <v>9.4</v>
      </c>
      <c r="AZ25">
        <v>1</v>
      </c>
    </row>
    <row r="26" spans="1:52" x14ac:dyDescent="0.25">
      <c r="A26" s="10" t="s">
        <v>55</v>
      </c>
      <c r="B26" s="4">
        <v>3</v>
      </c>
      <c r="C26" s="10" t="s">
        <v>12</v>
      </c>
      <c r="D26" s="43">
        <v>23</v>
      </c>
      <c r="E26" s="3">
        <v>45</v>
      </c>
      <c r="F26" s="3">
        <v>45</v>
      </c>
      <c r="G26" s="4">
        <v>18</v>
      </c>
      <c r="H26" s="4">
        <v>33</v>
      </c>
      <c r="I26" s="4">
        <v>40</v>
      </c>
      <c r="J26" s="4">
        <v>55</v>
      </c>
      <c r="K26" s="4">
        <v>15</v>
      </c>
      <c r="L26" s="4">
        <v>5</v>
      </c>
      <c r="M26" s="4">
        <v>14</v>
      </c>
      <c r="N26">
        <f>AVERAGE(K26:M26)</f>
        <v>11.333333333333334</v>
      </c>
      <c r="O26">
        <f>AVERAGE(D26:M26)</f>
        <v>29.3</v>
      </c>
      <c r="P26">
        <v>1</v>
      </c>
      <c r="S26" s="10" t="s">
        <v>55</v>
      </c>
      <c r="T26" s="4">
        <v>3</v>
      </c>
      <c r="U26" s="10" t="s">
        <v>12</v>
      </c>
      <c r="V26" s="43">
        <v>46</v>
      </c>
      <c r="W26" s="3">
        <v>107</v>
      </c>
      <c r="X26" s="3">
        <v>94</v>
      </c>
      <c r="Y26" s="4">
        <v>39</v>
      </c>
      <c r="Z26" s="4">
        <v>78</v>
      </c>
      <c r="AA26" s="4">
        <v>95</v>
      </c>
      <c r="AB26" s="4">
        <v>203</v>
      </c>
      <c r="AC26" s="30">
        <v>23</v>
      </c>
      <c r="AD26" s="4">
        <v>8</v>
      </c>
      <c r="AE26" s="4">
        <v>25</v>
      </c>
      <c r="AF26">
        <f>AVERAGE(AC26:AE26)</f>
        <v>18.666666666666668</v>
      </c>
      <c r="AG26">
        <f>AVERAGE(V26:AE26)</f>
        <v>71.8</v>
      </c>
      <c r="AH26">
        <v>1</v>
      </c>
      <c r="AK26" s="10" t="s">
        <v>55</v>
      </c>
      <c r="AL26" s="4">
        <v>3</v>
      </c>
      <c r="AM26" s="10" t="s">
        <v>12</v>
      </c>
      <c r="AN26" s="43">
        <v>14</v>
      </c>
      <c r="AO26" s="3">
        <v>49</v>
      </c>
      <c r="AP26" s="3">
        <v>2</v>
      </c>
      <c r="AQ26" s="4">
        <v>8</v>
      </c>
      <c r="AR26" s="4">
        <v>6</v>
      </c>
      <c r="AS26" s="4">
        <v>2</v>
      </c>
      <c r="AT26" s="4">
        <v>1</v>
      </c>
      <c r="AU26" s="4">
        <v>1</v>
      </c>
      <c r="AV26" s="4">
        <v>13</v>
      </c>
      <c r="AW26" s="4">
        <v>4</v>
      </c>
      <c r="AX26">
        <f>AVERAGE(AU26:AW26)</f>
        <v>6</v>
      </c>
      <c r="AY26">
        <f>AVERAGE(AN26:AW26)</f>
        <v>10</v>
      </c>
      <c r="AZ26">
        <v>1</v>
      </c>
    </row>
    <row r="27" spans="1:52" x14ac:dyDescent="0.25">
      <c r="A27" s="10" t="s">
        <v>59</v>
      </c>
      <c r="B27" s="4">
        <v>5</v>
      </c>
      <c r="C27" s="10" t="s">
        <v>12</v>
      </c>
      <c r="D27" s="43">
        <v>27</v>
      </c>
      <c r="E27" s="3">
        <v>35</v>
      </c>
      <c r="F27" s="3">
        <v>36</v>
      </c>
      <c r="G27" s="4">
        <v>37</v>
      </c>
      <c r="H27" s="4">
        <v>44</v>
      </c>
      <c r="I27" s="4">
        <v>40</v>
      </c>
      <c r="J27" s="4">
        <v>65</v>
      </c>
      <c r="K27" s="4">
        <v>68</v>
      </c>
      <c r="L27" s="4">
        <v>0</v>
      </c>
      <c r="M27" s="4">
        <v>52</v>
      </c>
      <c r="N27">
        <f>AVERAGE(K27:M27)</f>
        <v>40</v>
      </c>
      <c r="O27">
        <f>AVERAGE(D27:M27)</f>
        <v>40.4</v>
      </c>
      <c r="P27">
        <v>1</v>
      </c>
      <c r="S27" s="10" t="s">
        <v>59</v>
      </c>
      <c r="T27" s="4">
        <v>5</v>
      </c>
      <c r="U27" s="10" t="s">
        <v>12</v>
      </c>
      <c r="V27" s="43">
        <v>47</v>
      </c>
      <c r="W27" s="3">
        <v>61</v>
      </c>
      <c r="X27" s="3">
        <v>113</v>
      </c>
      <c r="Y27" s="4">
        <v>83</v>
      </c>
      <c r="Z27" s="4">
        <v>109</v>
      </c>
      <c r="AA27" s="4">
        <v>79</v>
      </c>
      <c r="AB27" s="4">
        <v>161</v>
      </c>
      <c r="AC27" s="52">
        <v>149</v>
      </c>
      <c r="AD27" s="52">
        <v>94</v>
      </c>
      <c r="AE27" s="4">
        <v>119</v>
      </c>
      <c r="AF27">
        <f>AVERAGE(AC27:AE27)</f>
        <v>120.66666666666667</v>
      </c>
      <c r="AG27">
        <f>AVERAGE(V27:AE27)</f>
        <v>101.5</v>
      </c>
      <c r="AH27">
        <v>1</v>
      </c>
      <c r="AK27" s="10" t="s">
        <v>59</v>
      </c>
      <c r="AL27" s="4">
        <v>5</v>
      </c>
      <c r="AM27" s="10" t="s">
        <v>12</v>
      </c>
      <c r="AN27" s="43">
        <v>13</v>
      </c>
      <c r="AO27" s="3">
        <v>2</v>
      </c>
      <c r="AP27" s="3">
        <v>52</v>
      </c>
      <c r="AQ27" s="4">
        <v>19</v>
      </c>
      <c r="AR27" s="4">
        <v>7</v>
      </c>
      <c r="AS27" s="4">
        <v>0</v>
      </c>
      <c r="AT27" s="4">
        <v>4</v>
      </c>
      <c r="AU27" s="4">
        <v>17</v>
      </c>
      <c r="AV27" s="4">
        <v>23</v>
      </c>
      <c r="AW27" s="4">
        <v>20</v>
      </c>
      <c r="AX27">
        <f>AVERAGE(AU27:AW27)</f>
        <v>20</v>
      </c>
      <c r="AY27">
        <f>AVERAGE(AN27:AW27)</f>
        <v>15.7</v>
      </c>
      <c r="AZ27">
        <v>1</v>
      </c>
    </row>
    <row r="28" spans="1:52" x14ac:dyDescent="0.25">
      <c r="A28" s="10" t="s">
        <v>78</v>
      </c>
      <c r="B28" s="4">
        <v>12</v>
      </c>
      <c r="C28" s="10" t="s">
        <v>12</v>
      </c>
      <c r="D28" s="44">
        <v>20</v>
      </c>
      <c r="E28" s="3">
        <v>26</v>
      </c>
      <c r="F28" s="3">
        <v>36</v>
      </c>
      <c r="G28" s="4">
        <v>23</v>
      </c>
      <c r="H28" s="4">
        <v>30</v>
      </c>
      <c r="I28" s="4">
        <v>20</v>
      </c>
      <c r="J28" s="4">
        <v>20</v>
      </c>
      <c r="K28" s="4">
        <v>26</v>
      </c>
      <c r="L28" s="4">
        <v>6</v>
      </c>
      <c r="M28" s="4">
        <v>11</v>
      </c>
      <c r="N28">
        <f>AVERAGE(K28:M28)</f>
        <v>14.333333333333334</v>
      </c>
      <c r="O28">
        <f>AVERAGE(D28:M28)</f>
        <v>21.8</v>
      </c>
      <c r="P28">
        <v>1</v>
      </c>
      <c r="S28" s="10" t="s">
        <v>78</v>
      </c>
      <c r="T28" s="4">
        <v>12</v>
      </c>
      <c r="U28" s="10" t="s">
        <v>12</v>
      </c>
      <c r="V28" s="44">
        <v>44</v>
      </c>
      <c r="W28" s="3">
        <v>50</v>
      </c>
      <c r="X28" s="3">
        <v>69</v>
      </c>
      <c r="Y28" s="4">
        <v>31</v>
      </c>
      <c r="Z28" s="4">
        <v>58</v>
      </c>
      <c r="AA28" s="4">
        <v>35</v>
      </c>
      <c r="AB28" s="4">
        <v>39</v>
      </c>
      <c r="AC28" s="4">
        <v>35</v>
      </c>
      <c r="AD28" s="4">
        <v>7</v>
      </c>
      <c r="AE28" s="4">
        <v>20</v>
      </c>
      <c r="AF28">
        <f>AVERAGE(AC28:AE28)</f>
        <v>20.666666666666668</v>
      </c>
      <c r="AG28">
        <f>AVERAGE(V28:AE28)</f>
        <v>38.799999999999997</v>
      </c>
      <c r="AH28">
        <v>1</v>
      </c>
      <c r="AK28" s="10" t="s">
        <v>78</v>
      </c>
      <c r="AL28" s="4">
        <v>12</v>
      </c>
      <c r="AM28" s="10" t="s">
        <v>12</v>
      </c>
      <c r="AN28" s="44">
        <v>25</v>
      </c>
      <c r="AO28" s="3">
        <v>7</v>
      </c>
      <c r="AP28" s="3">
        <v>16</v>
      </c>
      <c r="AQ28" s="4">
        <v>3</v>
      </c>
      <c r="AR28" s="4">
        <v>2</v>
      </c>
      <c r="AS28" s="4">
        <v>8</v>
      </c>
      <c r="AT28" s="4">
        <v>10</v>
      </c>
      <c r="AU28" s="4">
        <v>6</v>
      </c>
      <c r="AV28" s="4">
        <v>4</v>
      </c>
      <c r="AW28" s="4">
        <v>0</v>
      </c>
      <c r="AX28">
        <f>AVERAGE(AU28:AW28)</f>
        <v>3.3333333333333335</v>
      </c>
      <c r="AY28">
        <f>AVERAGE(AN28:AW28)</f>
        <v>8.1</v>
      </c>
      <c r="AZ28">
        <v>1</v>
      </c>
    </row>
    <row r="29" spans="1:52" x14ac:dyDescent="0.25">
      <c r="B29" s="7"/>
      <c r="D29" s="29"/>
      <c r="E29" s="7"/>
      <c r="F29" s="7"/>
      <c r="G29" s="7"/>
      <c r="H29" s="7"/>
      <c r="I29" s="7"/>
      <c r="J29" s="7"/>
      <c r="K29" s="7"/>
      <c r="L29" s="7"/>
      <c r="M29" s="53" t="s">
        <v>224</v>
      </c>
      <c r="N29">
        <f>AVERAGE(N24:N28)</f>
        <v>33.533333333333331</v>
      </c>
      <c r="O29">
        <f>AVERAGE(O24:O28)</f>
        <v>36.42</v>
      </c>
      <c r="T29" s="7"/>
      <c r="V29" s="29"/>
      <c r="W29" s="7"/>
      <c r="X29" s="7"/>
      <c r="Y29" s="7"/>
      <c r="Z29" s="7"/>
      <c r="AA29" s="7"/>
      <c r="AB29" s="7"/>
      <c r="AC29" s="7"/>
      <c r="AD29" s="7"/>
      <c r="AE29" s="53" t="s">
        <v>224</v>
      </c>
      <c r="AF29">
        <f>AVERAGE(AF24:AF28)</f>
        <v>126.26666666666665</v>
      </c>
      <c r="AG29">
        <f>AVERAGE(AG24:AG28)</f>
        <v>113.78</v>
      </c>
      <c r="AL29" s="7"/>
      <c r="AN29" s="41"/>
      <c r="AO29" s="7"/>
      <c r="AP29" s="7"/>
      <c r="AQ29" s="7"/>
      <c r="AR29" s="7"/>
      <c r="AS29" s="7"/>
      <c r="AT29" s="7"/>
      <c r="AU29" s="7"/>
      <c r="AV29" s="7"/>
      <c r="AW29" s="7"/>
    </row>
    <row r="32" spans="1:52" x14ac:dyDescent="0.25">
      <c r="N32" s="37" t="s">
        <v>221</v>
      </c>
      <c r="O32" s="37" t="s">
        <v>222</v>
      </c>
      <c r="P32" s="37" t="s">
        <v>8</v>
      </c>
    </row>
    <row r="33" spans="1:52" x14ac:dyDescent="0.25">
      <c r="A33" s="10" t="s">
        <v>62</v>
      </c>
      <c r="B33" s="4">
        <v>6</v>
      </c>
      <c r="C33" s="10" t="s">
        <v>12</v>
      </c>
      <c r="D33" s="43">
        <v>24</v>
      </c>
      <c r="E33" s="3">
        <v>38</v>
      </c>
      <c r="F33" s="3">
        <v>45</v>
      </c>
      <c r="G33" s="4">
        <v>30</v>
      </c>
      <c r="H33" s="4">
        <v>54</v>
      </c>
      <c r="I33" s="4">
        <v>43</v>
      </c>
      <c r="J33" s="4">
        <v>51</v>
      </c>
      <c r="K33" s="4">
        <v>68</v>
      </c>
      <c r="L33" s="4">
        <v>51</v>
      </c>
      <c r="M33" s="4">
        <v>64</v>
      </c>
      <c r="N33">
        <f>AVERAGE(K33:M33)</f>
        <v>61</v>
      </c>
      <c r="O33">
        <f>AVERAGE(D33:M33)</f>
        <v>46.8</v>
      </c>
      <c r="P33">
        <v>30</v>
      </c>
      <c r="S33" s="10" t="s">
        <v>62</v>
      </c>
      <c r="T33" s="4">
        <v>6</v>
      </c>
      <c r="U33" s="10" t="s">
        <v>12</v>
      </c>
      <c r="V33" s="43">
        <v>29</v>
      </c>
      <c r="W33" s="3">
        <v>65</v>
      </c>
      <c r="X33" s="3">
        <v>78</v>
      </c>
      <c r="Y33" s="4">
        <v>64</v>
      </c>
      <c r="Z33" s="4">
        <v>99</v>
      </c>
      <c r="AA33" s="4">
        <v>56</v>
      </c>
      <c r="AB33" s="4">
        <v>102</v>
      </c>
      <c r="AC33" s="4">
        <v>153</v>
      </c>
      <c r="AD33" s="4">
        <v>151</v>
      </c>
      <c r="AE33" s="4">
        <v>231</v>
      </c>
      <c r="AF33">
        <f>AVERAGE(AC33:AE33)</f>
        <v>178.33333333333334</v>
      </c>
      <c r="AG33">
        <f>AVERAGE(V33:AE33)</f>
        <v>102.8</v>
      </c>
      <c r="AH33">
        <v>30</v>
      </c>
      <c r="AK33" s="10" t="s">
        <v>62</v>
      </c>
      <c r="AL33" s="4">
        <v>6</v>
      </c>
      <c r="AM33" s="10" t="s">
        <v>12</v>
      </c>
      <c r="AN33" s="43">
        <v>6</v>
      </c>
      <c r="AO33" s="3">
        <v>19</v>
      </c>
      <c r="AP33" s="3">
        <v>22</v>
      </c>
      <c r="AQ33" s="4">
        <v>17</v>
      </c>
      <c r="AR33" s="4">
        <v>6</v>
      </c>
      <c r="AS33" s="4">
        <v>4</v>
      </c>
      <c r="AT33" s="4">
        <v>1</v>
      </c>
      <c r="AU33" s="4">
        <v>9</v>
      </c>
      <c r="AV33" s="4">
        <v>11</v>
      </c>
      <c r="AW33" s="4">
        <v>22</v>
      </c>
      <c r="AX33">
        <f>AVERAGE(AU33:AW33)</f>
        <v>14</v>
      </c>
      <c r="AY33">
        <f>AVERAGE(AN33:AW33)</f>
        <v>11.7</v>
      </c>
      <c r="AZ33">
        <v>30</v>
      </c>
    </row>
    <row r="34" spans="1:52" x14ac:dyDescent="0.25">
      <c r="A34" s="10" t="s">
        <v>65</v>
      </c>
      <c r="B34" s="4">
        <v>7</v>
      </c>
      <c r="C34" s="10" t="s">
        <v>12</v>
      </c>
      <c r="D34" s="43">
        <v>25</v>
      </c>
      <c r="E34" s="3">
        <v>45</v>
      </c>
      <c r="F34" s="3">
        <v>28</v>
      </c>
      <c r="G34" s="4">
        <v>30</v>
      </c>
      <c r="H34" s="4">
        <v>31</v>
      </c>
      <c r="I34" s="4">
        <v>27</v>
      </c>
      <c r="J34" s="4">
        <v>39</v>
      </c>
      <c r="K34" s="4">
        <v>30</v>
      </c>
      <c r="L34" s="4">
        <v>27</v>
      </c>
      <c r="M34" s="4">
        <v>34</v>
      </c>
      <c r="N34">
        <f>AVERAGE(K34:M34)</f>
        <v>30.333333333333332</v>
      </c>
      <c r="O34">
        <f>AVERAGE(D34:M34)</f>
        <v>31.6</v>
      </c>
      <c r="P34">
        <v>30</v>
      </c>
      <c r="S34" s="10" t="s">
        <v>65</v>
      </c>
      <c r="T34" s="4">
        <v>7</v>
      </c>
      <c r="U34" s="10" t="s">
        <v>12</v>
      </c>
      <c r="V34" s="43">
        <v>34</v>
      </c>
      <c r="W34" s="3">
        <v>69</v>
      </c>
      <c r="X34" s="3">
        <v>42</v>
      </c>
      <c r="Y34" s="4">
        <v>41</v>
      </c>
      <c r="Z34" s="4">
        <v>40</v>
      </c>
      <c r="AA34" s="4">
        <v>36</v>
      </c>
      <c r="AB34" s="4">
        <v>69</v>
      </c>
      <c r="AC34" s="4">
        <v>45</v>
      </c>
      <c r="AD34" s="4">
        <v>37</v>
      </c>
      <c r="AE34" s="4">
        <v>39</v>
      </c>
      <c r="AF34">
        <f>AVERAGE(AC34:AE34)</f>
        <v>40.333333333333336</v>
      </c>
      <c r="AG34">
        <f>AVERAGE(V34:AE34)</f>
        <v>45.2</v>
      </c>
      <c r="AH34">
        <v>30</v>
      </c>
      <c r="AK34" s="10" t="s">
        <v>65</v>
      </c>
      <c r="AL34" s="4">
        <v>7</v>
      </c>
      <c r="AM34" s="10" t="s">
        <v>12</v>
      </c>
      <c r="AN34" s="43">
        <v>14</v>
      </c>
      <c r="AO34" s="3">
        <v>12</v>
      </c>
      <c r="AP34" s="3">
        <v>6</v>
      </c>
      <c r="AQ34" s="4">
        <v>63</v>
      </c>
      <c r="AR34" s="4">
        <v>48</v>
      </c>
      <c r="AS34" s="4">
        <v>5</v>
      </c>
      <c r="AT34" s="4">
        <v>13</v>
      </c>
      <c r="AU34" s="4">
        <v>11</v>
      </c>
      <c r="AV34" s="4">
        <v>13</v>
      </c>
      <c r="AW34" s="4">
        <v>7</v>
      </c>
      <c r="AX34">
        <f>AVERAGE(AU34:AW34)</f>
        <v>10.333333333333334</v>
      </c>
      <c r="AY34">
        <f>AVERAGE(AN34:AW34)</f>
        <v>19.2</v>
      </c>
      <c r="AZ34">
        <v>30</v>
      </c>
    </row>
    <row r="35" spans="1:52" x14ac:dyDescent="0.25">
      <c r="A35" s="10" t="s">
        <v>79</v>
      </c>
      <c r="B35" s="4">
        <v>13</v>
      </c>
      <c r="C35" s="10" t="s">
        <v>12</v>
      </c>
      <c r="D35" s="43">
        <v>28</v>
      </c>
      <c r="E35" s="3">
        <v>30</v>
      </c>
      <c r="F35" s="3">
        <v>37</v>
      </c>
      <c r="G35" s="4">
        <v>34</v>
      </c>
      <c r="H35" s="4">
        <v>59</v>
      </c>
      <c r="I35" s="4">
        <v>57</v>
      </c>
      <c r="J35" s="4">
        <v>75</v>
      </c>
      <c r="K35" s="52">
        <v>42</v>
      </c>
      <c r="L35" s="52">
        <v>44</v>
      </c>
      <c r="M35" s="4">
        <v>54</v>
      </c>
      <c r="N35">
        <f>AVERAGE(K35:M35)</f>
        <v>46.666666666666664</v>
      </c>
      <c r="O35">
        <f>AVERAGE(D35:M35)</f>
        <v>46</v>
      </c>
      <c r="P35">
        <v>30</v>
      </c>
      <c r="S35" s="10" t="s">
        <v>79</v>
      </c>
      <c r="T35" s="4">
        <v>13</v>
      </c>
      <c r="U35" s="10" t="s">
        <v>12</v>
      </c>
      <c r="V35" s="43">
        <v>36</v>
      </c>
      <c r="W35" s="3">
        <v>48</v>
      </c>
      <c r="X35" s="3">
        <v>59</v>
      </c>
      <c r="Y35" s="4">
        <v>65</v>
      </c>
      <c r="Z35" s="4">
        <v>125</v>
      </c>
      <c r="AA35" s="4">
        <v>101</v>
      </c>
      <c r="AB35" s="4">
        <v>192</v>
      </c>
      <c r="AC35" s="4">
        <v>73</v>
      </c>
      <c r="AD35" s="4">
        <v>91</v>
      </c>
      <c r="AE35" s="4">
        <v>101</v>
      </c>
      <c r="AF35">
        <f>AVERAGE(AC35:AE35)</f>
        <v>88.333333333333329</v>
      </c>
      <c r="AG35">
        <f>AVERAGE(V35:AE35)</f>
        <v>89.1</v>
      </c>
      <c r="AH35">
        <v>30</v>
      </c>
      <c r="AK35" s="10" t="s">
        <v>79</v>
      </c>
      <c r="AL35" s="4">
        <v>13</v>
      </c>
      <c r="AM35" s="10" t="s">
        <v>12</v>
      </c>
      <c r="AN35" s="43">
        <v>47</v>
      </c>
      <c r="AO35" s="3">
        <v>2</v>
      </c>
      <c r="AP35" s="3">
        <v>6</v>
      </c>
      <c r="AQ35" s="4">
        <v>23</v>
      </c>
      <c r="AR35" s="4">
        <v>13</v>
      </c>
      <c r="AS35" s="4">
        <v>8</v>
      </c>
      <c r="AT35" s="4">
        <v>17</v>
      </c>
      <c r="AU35" s="52">
        <v>15</v>
      </c>
      <c r="AV35" s="52">
        <v>28</v>
      </c>
      <c r="AW35" s="4">
        <v>56</v>
      </c>
      <c r="AX35">
        <f>AVERAGE(AU35:AW35)</f>
        <v>33</v>
      </c>
      <c r="AY35">
        <f>AVERAGE(AN35:AW35)</f>
        <v>21.5</v>
      </c>
      <c r="AZ35">
        <v>30</v>
      </c>
    </row>
    <row r="36" spans="1:52" x14ac:dyDescent="0.25">
      <c r="A36" s="10" t="s">
        <v>80</v>
      </c>
      <c r="B36" s="4">
        <v>14</v>
      </c>
      <c r="C36" s="10" t="s">
        <v>12</v>
      </c>
      <c r="D36" s="43">
        <v>25</v>
      </c>
      <c r="E36" s="3">
        <v>37</v>
      </c>
      <c r="F36" s="3">
        <v>54</v>
      </c>
      <c r="G36" s="4">
        <v>38</v>
      </c>
      <c r="H36" s="4">
        <v>25</v>
      </c>
      <c r="I36" s="4">
        <v>25</v>
      </c>
      <c r="J36" s="4">
        <v>21</v>
      </c>
      <c r="K36" s="4">
        <v>34</v>
      </c>
      <c r="L36" s="4">
        <v>15</v>
      </c>
      <c r="M36" s="4">
        <v>21</v>
      </c>
      <c r="N36">
        <f>AVERAGE(K36:M36)</f>
        <v>23.333333333333332</v>
      </c>
      <c r="O36">
        <f>AVERAGE(D36:M36)</f>
        <v>29.5</v>
      </c>
      <c r="P36">
        <v>30</v>
      </c>
      <c r="S36" s="10" t="s">
        <v>80</v>
      </c>
      <c r="T36" s="4">
        <v>14</v>
      </c>
      <c r="U36" s="10" t="s">
        <v>12</v>
      </c>
      <c r="V36" s="43">
        <v>64</v>
      </c>
      <c r="W36" s="3">
        <v>57</v>
      </c>
      <c r="X36" s="3">
        <v>94</v>
      </c>
      <c r="Y36" s="4">
        <v>77</v>
      </c>
      <c r="Z36" s="4">
        <v>40</v>
      </c>
      <c r="AA36" s="4">
        <v>34</v>
      </c>
      <c r="AB36" s="4">
        <v>23</v>
      </c>
      <c r="AC36" s="4">
        <v>45</v>
      </c>
      <c r="AD36" s="4">
        <v>19</v>
      </c>
      <c r="AE36" s="4">
        <v>31</v>
      </c>
      <c r="AF36">
        <f>AVERAGE(AC36:AE36)</f>
        <v>31.666666666666668</v>
      </c>
      <c r="AG36">
        <f>AVERAGE(V36:AE36)</f>
        <v>48.4</v>
      </c>
      <c r="AH36">
        <v>30</v>
      </c>
      <c r="AK36" s="10" t="s">
        <v>80</v>
      </c>
      <c r="AL36" s="4">
        <v>14</v>
      </c>
      <c r="AM36" s="10" t="s">
        <v>12</v>
      </c>
      <c r="AN36" s="43">
        <v>50</v>
      </c>
      <c r="AO36" s="3">
        <v>29</v>
      </c>
      <c r="AP36" s="3">
        <v>27</v>
      </c>
      <c r="AQ36" s="4">
        <v>21</v>
      </c>
      <c r="AR36" s="4">
        <v>37</v>
      </c>
      <c r="AS36" s="4">
        <v>4</v>
      </c>
      <c r="AT36" s="4">
        <v>11</v>
      </c>
      <c r="AU36" s="4">
        <v>20</v>
      </c>
      <c r="AV36" s="4">
        <v>3</v>
      </c>
      <c r="AW36" s="4">
        <v>10</v>
      </c>
      <c r="AX36">
        <f>AVERAGE(AU36:AW36)</f>
        <v>11</v>
      </c>
      <c r="AY36">
        <f>AVERAGE(AN36:AW36)</f>
        <v>21.2</v>
      </c>
      <c r="AZ36">
        <v>30</v>
      </c>
    </row>
    <row r="37" spans="1:52" x14ac:dyDescent="0.25">
      <c r="A37" s="10" t="s">
        <v>81</v>
      </c>
      <c r="B37" s="4">
        <v>15</v>
      </c>
      <c r="C37" s="10" t="s">
        <v>12</v>
      </c>
      <c r="D37" s="43">
        <v>34</v>
      </c>
      <c r="E37" s="3">
        <v>49</v>
      </c>
      <c r="F37" s="3">
        <v>70</v>
      </c>
      <c r="G37" s="4">
        <v>75</v>
      </c>
      <c r="H37" s="4">
        <v>75</v>
      </c>
      <c r="I37" s="4">
        <v>74</v>
      </c>
      <c r="J37" s="4">
        <v>75</v>
      </c>
      <c r="K37" s="4">
        <v>70</v>
      </c>
      <c r="L37" s="4">
        <v>51</v>
      </c>
      <c r="M37" s="4">
        <v>75</v>
      </c>
      <c r="N37">
        <f>AVERAGE(K37:M37)</f>
        <v>65.333333333333329</v>
      </c>
      <c r="O37">
        <f>AVERAGE(D37:M37)</f>
        <v>64.8</v>
      </c>
      <c r="P37">
        <v>30</v>
      </c>
      <c r="S37" s="10" t="s">
        <v>81</v>
      </c>
      <c r="T37" s="4">
        <v>15</v>
      </c>
      <c r="U37" s="10" t="s">
        <v>12</v>
      </c>
      <c r="V37" s="43">
        <v>77</v>
      </c>
      <c r="W37" s="3">
        <v>127</v>
      </c>
      <c r="X37" s="3">
        <v>325</v>
      </c>
      <c r="Y37" s="4">
        <v>566</v>
      </c>
      <c r="Z37" s="4">
        <v>498</v>
      </c>
      <c r="AA37" s="4">
        <v>406</v>
      </c>
      <c r="AB37" s="4">
        <v>538</v>
      </c>
      <c r="AC37" s="4">
        <v>293</v>
      </c>
      <c r="AD37" s="4">
        <v>223</v>
      </c>
      <c r="AE37" s="4">
        <v>223</v>
      </c>
      <c r="AF37">
        <f>AVERAGE(AC37:AE37)</f>
        <v>246.33333333333334</v>
      </c>
      <c r="AG37">
        <f>AVERAGE(V37:AE37)</f>
        <v>327.60000000000002</v>
      </c>
      <c r="AH37">
        <v>30</v>
      </c>
      <c r="AK37" s="10" t="s">
        <v>81</v>
      </c>
      <c r="AL37" s="4">
        <v>15</v>
      </c>
      <c r="AM37" s="10" t="s">
        <v>12</v>
      </c>
      <c r="AN37" s="43">
        <v>10</v>
      </c>
      <c r="AO37" s="3">
        <v>6</v>
      </c>
      <c r="AP37" s="3">
        <v>27</v>
      </c>
      <c r="AQ37" s="4">
        <v>20</v>
      </c>
      <c r="AR37" s="4">
        <v>20</v>
      </c>
      <c r="AS37" s="4">
        <v>25</v>
      </c>
      <c r="AT37" s="4">
        <v>16</v>
      </c>
      <c r="AU37" s="4">
        <v>58</v>
      </c>
      <c r="AV37" s="4">
        <v>38</v>
      </c>
      <c r="AW37" s="4">
        <v>31</v>
      </c>
      <c r="AX37">
        <f>AVERAGE(AU37:AW37)</f>
        <v>42.333333333333336</v>
      </c>
      <c r="AY37">
        <f>AVERAGE(AN37:AW37)</f>
        <v>25.1</v>
      </c>
      <c r="AZ37">
        <v>30</v>
      </c>
    </row>
    <row r="38" spans="1:52" x14ac:dyDescent="0.25">
      <c r="M38" s="53" t="s">
        <v>224</v>
      </c>
      <c r="N38">
        <f>AVERAGE(N33:N37)</f>
        <v>45.333333333333336</v>
      </c>
      <c r="O38">
        <f>AVERAGE(O33:O37)</f>
        <v>43.739999999999995</v>
      </c>
      <c r="AE38" s="53" t="s">
        <v>224</v>
      </c>
      <c r="AF38">
        <f>AVERAGE(AF33:AF37)</f>
        <v>117</v>
      </c>
      <c r="AG38">
        <f>AVERAGE(AG33:AG37)</f>
        <v>122.62</v>
      </c>
    </row>
    <row r="39" spans="1:52" x14ac:dyDescent="0.25">
      <c r="M39" s="53"/>
    </row>
    <row r="41" spans="1:52" x14ac:dyDescent="0.25">
      <c r="N41" s="37" t="s">
        <v>221</v>
      </c>
      <c r="O41" s="37" t="s">
        <v>222</v>
      </c>
      <c r="P41" s="37" t="s">
        <v>8</v>
      </c>
    </row>
    <row r="42" spans="1:52" x14ac:dyDescent="0.25">
      <c r="A42" s="10" t="s">
        <v>57</v>
      </c>
      <c r="B42" s="4">
        <v>4</v>
      </c>
      <c r="C42" s="10" t="s">
        <v>12</v>
      </c>
      <c r="D42" s="43">
        <v>19</v>
      </c>
      <c r="E42" s="3">
        <v>42</v>
      </c>
      <c r="F42" s="3">
        <v>41</v>
      </c>
      <c r="G42" s="4">
        <v>55</v>
      </c>
      <c r="H42" s="4">
        <v>57</v>
      </c>
      <c r="I42" s="4">
        <v>45</v>
      </c>
      <c r="J42" s="30">
        <v>67</v>
      </c>
      <c r="K42" s="4">
        <v>42</v>
      </c>
      <c r="L42" s="4">
        <v>43</v>
      </c>
      <c r="M42" s="4">
        <v>53</v>
      </c>
      <c r="N42">
        <f>AVERAGE(K42:M42)</f>
        <v>46</v>
      </c>
      <c r="O42">
        <f>AVERAGE(D42:M42)</f>
        <v>46.4</v>
      </c>
      <c r="P42" t="s">
        <v>225</v>
      </c>
      <c r="S42" s="10" t="s">
        <v>57</v>
      </c>
      <c r="T42" s="4">
        <v>4</v>
      </c>
      <c r="U42" s="10" t="s">
        <v>12</v>
      </c>
      <c r="V42" s="43">
        <v>55</v>
      </c>
      <c r="W42" s="3">
        <v>165</v>
      </c>
      <c r="X42" s="3">
        <v>152</v>
      </c>
      <c r="Y42" s="4">
        <v>206</v>
      </c>
      <c r="Z42" s="4">
        <v>192</v>
      </c>
      <c r="AA42" s="4">
        <v>160</v>
      </c>
      <c r="AB42" s="4">
        <v>292</v>
      </c>
      <c r="AC42" s="4">
        <v>105</v>
      </c>
      <c r="AD42" s="4">
        <v>129</v>
      </c>
      <c r="AE42" s="4">
        <v>100</v>
      </c>
      <c r="AF42">
        <f>AVERAGE(AC42:AE42)</f>
        <v>111.33333333333333</v>
      </c>
      <c r="AG42">
        <f>AVERAGE(V42:AE42)</f>
        <v>155.6</v>
      </c>
      <c r="AH42" t="s">
        <v>225</v>
      </c>
      <c r="AK42" s="10" t="s">
        <v>57</v>
      </c>
      <c r="AL42" s="4">
        <v>4</v>
      </c>
      <c r="AM42" s="10" t="s">
        <v>12</v>
      </c>
      <c r="AN42" s="43">
        <v>34</v>
      </c>
      <c r="AO42" s="3">
        <v>168</v>
      </c>
      <c r="AP42" s="3">
        <v>49</v>
      </c>
      <c r="AQ42" s="4">
        <v>10</v>
      </c>
      <c r="AR42" s="4">
        <v>5</v>
      </c>
      <c r="AS42" s="4">
        <v>2</v>
      </c>
      <c r="AT42" s="4">
        <v>206</v>
      </c>
      <c r="AU42" s="4">
        <v>7</v>
      </c>
      <c r="AV42" s="4">
        <v>27</v>
      </c>
      <c r="AW42" s="4">
        <v>20</v>
      </c>
      <c r="AX42">
        <f>AVERAGE(AU42:AW42)</f>
        <v>18</v>
      </c>
      <c r="AY42">
        <f>AVERAGE(AN42:AW42)</f>
        <v>52.8</v>
      </c>
      <c r="AZ42" t="s">
        <v>225</v>
      </c>
    </row>
    <row r="43" spans="1:52" x14ac:dyDescent="0.25">
      <c r="A43" s="10" t="s">
        <v>82</v>
      </c>
      <c r="B43" s="4">
        <v>16</v>
      </c>
      <c r="C43" s="10" t="s">
        <v>12</v>
      </c>
      <c r="D43" s="42">
        <v>43</v>
      </c>
      <c r="E43" s="42">
        <v>27</v>
      </c>
      <c r="F43" s="42">
        <v>33</v>
      </c>
      <c r="G43" s="42">
        <v>50</v>
      </c>
      <c r="H43" s="30">
        <v>35</v>
      </c>
      <c r="I43" s="4">
        <v>20</v>
      </c>
      <c r="J43" s="30">
        <v>2</v>
      </c>
      <c r="K43" s="30">
        <v>7</v>
      </c>
      <c r="L43" s="4">
        <v>6</v>
      </c>
      <c r="M43" s="4">
        <v>5</v>
      </c>
      <c r="N43">
        <f>AVERAGE(K43:M43)</f>
        <v>6</v>
      </c>
      <c r="O43">
        <f>AVERAGE(D43:M43)</f>
        <v>22.8</v>
      </c>
      <c r="P43" t="s">
        <v>240</v>
      </c>
      <c r="S43" s="10" t="s">
        <v>82</v>
      </c>
      <c r="T43" s="4">
        <v>16</v>
      </c>
      <c r="U43" s="10" t="s">
        <v>12</v>
      </c>
      <c r="V43" s="42">
        <v>65</v>
      </c>
      <c r="W43" s="42">
        <v>50</v>
      </c>
      <c r="X43" s="42">
        <v>47</v>
      </c>
      <c r="Y43" s="42">
        <v>56</v>
      </c>
      <c r="Z43" s="30">
        <v>38</v>
      </c>
      <c r="AA43" s="4">
        <v>24</v>
      </c>
      <c r="AB43" s="4">
        <v>4</v>
      </c>
      <c r="AC43" s="4">
        <v>10</v>
      </c>
      <c r="AD43" s="4">
        <v>6</v>
      </c>
      <c r="AE43" s="4">
        <v>6</v>
      </c>
      <c r="AF43">
        <f>AVERAGE(AC43:AE43)</f>
        <v>7.333333333333333</v>
      </c>
      <c r="AG43">
        <f>AVERAGE(V43:AE43)</f>
        <v>30.6</v>
      </c>
      <c r="AH43" t="s">
        <v>240</v>
      </c>
      <c r="AK43" s="10" t="s">
        <v>82</v>
      </c>
      <c r="AL43" s="4">
        <v>16</v>
      </c>
      <c r="AM43" s="10" t="s">
        <v>12</v>
      </c>
      <c r="AN43" s="42">
        <v>126</v>
      </c>
      <c r="AO43" s="42">
        <v>16</v>
      </c>
      <c r="AP43" s="42">
        <v>15</v>
      </c>
      <c r="AQ43" s="42">
        <v>13</v>
      </c>
      <c r="AR43" s="48">
        <v>14</v>
      </c>
      <c r="AS43" s="4">
        <v>15</v>
      </c>
      <c r="AT43" s="4">
        <v>3</v>
      </c>
      <c r="AU43" s="30">
        <v>24</v>
      </c>
      <c r="AV43" s="4">
        <v>5</v>
      </c>
      <c r="AW43" s="4">
        <v>0</v>
      </c>
      <c r="AX43">
        <f>AVERAGE(AU43:AW43)</f>
        <v>9.6666666666666661</v>
      </c>
      <c r="AY43">
        <f>AVERAGE(AN43:AW43)</f>
        <v>23.1</v>
      </c>
      <c r="AZ43" t="s">
        <v>240</v>
      </c>
    </row>
    <row r="44" spans="1:52" x14ac:dyDescent="0.25">
      <c r="M44" s="53" t="s">
        <v>224</v>
      </c>
      <c r="N44">
        <f>AVERAGE(N38:N43)</f>
        <v>32.44444444444445</v>
      </c>
      <c r="O44">
        <f>AVERAGE(O38:O43)</f>
        <v>37.646666666666661</v>
      </c>
      <c r="AE44" s="53" t="s">
        <v>224</v>
      </c>
      <c r="AF44">
        <f>AVERAGE(AF39:AF43)</f>
        <v>59.333333333333329</v>
      </c>
      <c r="AG44">
        <f>AVERAGE(AG39:AG43)</f>
        <v>93.1</v>
      </c>
    </row>
    <row r="46" spans="1:52" x14ac:dyDescent="0.25">
      <c r="N46" s="37" t="s">
        <v>221</v>
      </c>
      <c r="O46" s="37" t="s">
        <v>222</v>
      </c>
      <c r="P46" s="37" t="s">
        <v>8</v>
      </c>
    </row>
    <row r="47" spans="1:52" x14ac:dyDescent="0.25">
      <c r="A47" s="10" t="s">
        <v>68</v>
      </c>
      <c r="B47" s="4">
        <v>8</v>
      </c>
      <c r="C47" s="10" t="s">
        <v>19</v>
      </c>
      <c r="D47" s="43">
        <v>9</v>
      </c>
      <c r="E47" s="3">
        <v>39</v>
      </c>
      <c r="F47" s="3">
        <v>10</v>
      </c>
      <c r="G47" s="4">
        <v>3</v>
      </c>
      <c r="H47" s="4">
        <v>6</v>
      </c>
      <c r="I47" s="4">
        <v>2</v>
      </c>
      <c r="J47" s="4">
        <v>0</v>
      </c>
      <c r="K47" s="46">
        <v>1</v>
      </c>
      <c r="L47" s="4">
        <v>0</v>
      </c>
      <c r="M47" s="4">
        <v>0</v>
      </c>
      <c r="N47">
        <f>AVERAGE(K47:M47)</f>
        <v>0.33333333333333331</v>
      </c>
      <c r="O47">
        <f>AVERAGE(D47:M47)</f>
        <v>7</v>
      </c>
      <c r="P47" t="s">
        <v>241</v>
      </c>
      <c r="S47" s="10" t="s">
        <v>68</v>
      </c>
      <c r="T47" s="4">
        <v>8</v>
      </c>
      <c r="U47" s="10" t="s">
        <v>19</v>
      </c>
      <c r="V47" s="43">
        <v>20</v>
      </c>
      <c r="W47" s="3">
        <v>59</v>
      </c>
      <c r="X47" s="3">
        <v>17</v>
      </c>
      <c r="Y47" s="4">
        <v>4</v>
      </c>
      <c r="Z47" s="4">
        <v>9</v>
      </c>
      <c r="AA47" s="4">
        <v>2</v>
      </c>
      <c r="AB47" s="4">
        <v>0</v>
      </c>
      <c r="AC47" s="46">
        <v>1</v>
      </c>
      <c r="AD47" s="4">
        <v>0</v>
      </c>
      <c r="AE47" s="4">
        <v>0</v>
      </c>
      <c r="AF47">
        <f>AVERAGE(AC47:AE47)</f>
        <v>0.33333333333333331</v>
      </c>
      <c r="AG47">
        <f>AVERAGE(V47:AE47)</f>
        <v>11.2</v>
      </c>
      <c r="AK47" s="10" t="s">
        <v>68</v>
      </c>
      <c r="AL47" s="4">
        <v>8</v>
      </c>
      <c r="AM47" s="10" t="s">
        <v>19</v>
      </c>
      <c r="AN47" s="43">
        <v>9</v>
      </c>
      <c r="AO47" s="3">
        <v>16</v>
      </c>
      <c r="AP47" s="3">
        <v>5</v>
      </c>
      <c r="AQ47" s="4">
        <v>2</v>
      </c>
      <c r="AR47" s="4">
        <v>1</v>
      </c>
      <c r="AS47" s="4">
        <v>4</v>
      </c>
      <c r="AT47" s="4">
        <v>0</v>
      </c>
      <c r="AU47" s="46">
        <v>1</v>
      </c>
      <c r="AV47" s="4">
        <v>0</v>
      </c>
      <c r="AW47" s="4">
        <v>1</v>
      </c>
      <c r="AX47">
        <f>AVERAGE(AU47:AW47)</f>
        <v>0.66666666666666663</v>
      </c>
      <c r="AY47">
        <f>AVERAGE(AN47:AW47)</f>
        <v>3.9</v>
      </c>
    </row>
    <row r="48" spans="1:52" x14ac:dyDescent="0.25">
      <c r="A48" s="10" t="s">
        <v>70</v>
      </c>
      <c r="B48" s="4">
        <v>9</v>
      </c>
      <c r="C48" s="10" t="s">
        <v>19</v>
      </c>
      <c r="D48" s="43">
        <v>33</v>
      </c>
      <c r="E48" s="3">
        <v>39</v>
      </c>
      <c r="F48" s="3">
        <v>18</v>
      </c>
      <c r="G48" s="4">
        <v>8</v>
      </c>
      <c r="H48" s="4">
        <v>8</v>
      </c>
      <c r="I48" s="30">
        <v>7</v>
      </c>
      <c r="J48" s="4">
        <v>6</v>
      </c>
      <c r="K48" s="4">
        <v>6</v>
      </c>
      <c r="L48" s="46">
        <v>7</v>
      </c>
      <c r="M48" s="4">
        <v>6</v>
      </c>
      <c r="N48">
        <f>AVERAGE(K48:M48)</f>
        <v>6.333333333333333</v>
      </c>
      <c r="O48">
        <f>AVERAGE(D48:M48)</f>
        <v>13.8</v>
      </c>
      <c r="P48" t="s">
        <v>241</v>
      </c>
      <c r="S48" s="10" t="s">
        <v>70</v>
      </c>
      <c r="T48" s="4">
        <v>9</v>
      </c>
      <c r="U48" s="10" t="s">
        <v>19</v>
      </c>
      <c r="V48" s="43">
        <v>40</v>
      </c>
      <c r="W48" s="3">
        <v>39</v>
      </c>
      <c r="X48" s="3">
        <v>19</v>
      </c>
      <c r="Y48" s="4">
        <v>8</v>
      </c>
      <c r="Z48" s="4">
        <v>9</v>
      </c>
      <c r="AA48" s="30">
        <v>7</v>
      </c>
      <c r="AB48" s="4">
        <v>6</v>
      </c>
      <c r="AC48" s="4">
        <v>6</v>
      </c>
      <c r="AD48" s="4">
        <v>10</v>
      </c>
      <c r="AE48" s="4">
        <v>6</v>
      </c>
      <c r="AF48">
        <f>AVERAGE(AC48:AE48)</f>
        <v>7.333333333333333</v>
      </c>
      <c r="AG48">
        <f>AVERAGE(V48:AE48)</f>
        <v>15</v>
      </c>
      <c r="AK48" s="10" t="s">
        <v>70</v>
      </c>
      <c r="AL48" s="4">
        <v>9</v>
      </c>
      <c r="AM48" s="10" t="s">
        <v>19</v>
      </c>
      <c r="AN48" s="43">
        <v>49</v>
      </c>
      <c r="AO48" s="3">
        <v>38</v>
      </c>
      <c r="AP48" s="3">
        <v>10</v>
      </c>
      <c r="AQ48" s="4">
        <v>2</v>
      </c>
      <c r="AR48" s="4">
        <v>3</v>
      </c>
      <c r="AS48" s="30">
        <v>4</v>
      </c>
      <c r="AT48" s="4">
        <v>20</v>
      </c>
      <c r="AU48" s="4">
        <v>5</v>
      </c>
      <c r="AV48" s="4">
        <v>1</v>
      </c>
      <c r="AW48" s="4">
        <v>57</v>
      </c>
      <c r="AX48">
        <f>AVERAGE(AU48:AW48)</f>
        <v>21</v>
      </c>
      <c r="AY48">
        <f>AVERAGE(AN48:AW48)</f>
        <v>18.899999999999999</v>
      </c>
    </row>
    <row r="49" spans="1:51" x14ac:dyDescent="0.25">
      <c r="A49" s="10" t="s">
        <v>73</v>
      </c>
      <c r="B49" s="4">
        <v>10</v>
      </c>
      <c r="C49" s="10" t="s">
        <v>19</v>
      </c>
      <c r="D49" s="43">
        <v>18</v>
      </c>
      <c r="E49" s="3">
        <v>15</v>
      </c>
      <c r="F49" s="3">
        <v>19</v>
      </c>
      <c r="G49" s="4">
        <v>6</v>
      </c>
      <c r="H49" s="4">
        <v>6</v>
      </c>
      <c r="I49" s="4">
        <v>4</v>
      </c>
      <c r="J49" s="4">
        <v>5</v>
      </c>
      <c r="K49" s="4">
        <v>4</v>
      </c>
      <c r="L49" s="4">
        <v>7</v>
      </c>
      <c r="M49" s="52">
        <v>4</v>
      </c>
      <c r="N49">
        <f>AVERAGE(K49:M49)</f>
        <v>5</v>
      </c>
      <c r="O49">
        <f>AVERAGE(D49:M49)</f>
        <v>8.8000000000000007</v>
      </c>
      <c r="P49" t="s">
        <v>241</v>
      </c>
      <c r="S49" s="10" t="s">
        <v>73</v>
      </c>
      <c r="T49" s="4">
        <v>10</v>
      </c>
      <c r="U49" s="10" t="s">
        <v>19</v>
      </c>
      <c r="V49" s="43">
        <v>29</v>
      </c>
      <c r="W49" s="3">
        <v>19</v>
      </c>
      <c r="X49" s="3">
        <v>37</v>
      </c>
      <c r="Y49" s="4">
        <v>8</v>
      </c>
      <c r="Z49" s="4">
        <v>8</v>
      </c>
      <c r="AA49" s="4">
        <v>4</v>
      </c>
      <c r="AB49" s="4">
        <v>6</v>
      </c>
      <c r="AC49" s="4">
        <v>5</v>
      </c>
      <c r="AD49" s="46">
        <v>12</v>
      </c>
      <c r="AE49" s="4">
        <v>5</v>
      </c>
      <c r="AF49">
        <f>AVERAGE(AC49:AE49)</f>
        <v>7.333333333333333</v>
      </c>
      <c r="AG49">
        <f>AVERAGE(V49:AE49)</f>
        <v>13.3</v>
      </c>
      <c r="AK49" s="10" t="s">
        <v>73</v>
      </c>
      <c r="AL49" s="4">
        <v>10</v>
      </c>
      <c r="AM49" s="10" t="s">
        <v>19</v>
      </c>
      <c r="AN49" s="43">
        <v>15</v>
      </c>
      <c r="AO49" s="3">
        <v>10</v>
      </c>
      <c r="AP49" s="3">
        <v>4</v>
      </c>
      <c r="AQ49" s="4">
        <v>6</v>
      </c>
      <c r="AR49" s="4">
        <v>6</v>
      </c>
      <c r="AS49" s="4">
        <v>3</v>
      </c>
      <c r="AT49" s="4">
        <v>1</v>
      </c>
      <c r="AU49" s="4">
        <v>0</v>
      </c>
      <c r="AV49" s="46">
        <v>3</v>
      </c>
      <c r="AW49" s="4">
        <v>4</v>
      </c>
      <c r="AX49">
        <f>AVERAGE(AU49:AW49)</f>
        <v>2.3333333333333335</v>
      </c>
      <c r="AY49">
        <f>AVERAGE(AN49:AW49)</f>
        <v>5.2</v>
      </c>
    </row>
    <row r="52" spans="1:51" x14ac:dyDescent="0.25">
      <c r="A52" t="s">
        <v>242</v>
      </c>
    </row>
    <row r="53" spans="1:51" x14ac:dyDescent="0.25">
      <c r="A53" s="10" t="s">
        <v>75</v>
      </c>
      <c r="B53" s="4">
        <v>11</v>
      </c>
      <c r="C53" s="10" t="s">
        <v>19</v>
      </c>
      <c r="D53" s="43">
        <v>34</v>
      </c>
      <c r="E53" s="3">
        <v>51</v>
      </c>
      <c r="F53" s="3">
        <v>40</v>
      </c>
      <c r="G53" s="46">
        <v>19</v>
      </c>
      <c r="H53" s="38">
        <v>1</v>
      </c>
      <c r="I53" s="50"/>
      <c r="J53" s="50"/>
      <c r="K53" s="50"/>
      <c r="L53" s="50"/>
      <c r="M53" s="50"/>
      <c r="S53" s="10" t="s">
        <v>75</v>
      </c>
      <c r="T53" s="4">
        <v>11</v>
      </c>
      <c r="U53" s="10" t="s">
        <v>19</v>
      </c>
      <c r="V53" s="43">
        <v>7</v>
      </c>
      <c r="W53" s="3">
        <v>67</v>
      </c>
      <c r="X53" s="3">
        <v>58</v>
      </c>
      <c r="Y53" s="46">
        <v>25</v>
      </c>
      <c r="Z53" s="38">
        <v>1</v>
      </c>
      <c r="AA53" s="50"/>
      <c r="AB53" s="50"/>
      <c r="AC53" s="50"/>
      <c r="AD53" s="50"/>
      <c r="AE53" s="50"/>
      <c r="AK53" s="10" t="s">
        <v>75</v>
      </c>
      <c r="AL53" s="4">
        <v>11</v>
      </c>
      <c r="AM53" s="10" t="s">
        <v>19</v>
      </c>
      <c r="AN53" s="43">
        <v>61</v>
      </c>
      <c r="AO53" s="3">
        <v>23</v>
      </c>
      <c r="AP53" s="3">
        <v>55</v>
      </c>
      <c r="AQ53" s="46">
        <v>18</v>
      </c>
      <c r="AR53" s="38">
        <v>2</v>
      </c>
      <c r="AS53" s="50"/>
      <c r="AT53" s="50"/>
      <c r="AU53" s="50"/>
      <c r="AV53" s="50"/>
      <c r="AW53" s="50"/>
    </row>
  </sheetData>
  <sortState xmlns:xlrd2="http://schemas.microsoft.com/office/spreadsheetml/2017/richdata2" ref="AK24:AZ43">
    <sortCondition ref="AZ24:AZ43"/>
    <sortCondition ref="AL24:AL4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EAB3-3670-466B-B71C-3CDFA27F7486}">
  <dimension ref="A2:N103"/>
  <sheetViews>
    <sheetView topLeftCell="A33" workbookViewId="0">
      <selection activeCell="A55" sqref="A55:N55"/>
    </sheetView>
  </sheetViews>
  <sheetFormatPr defaultRowHeight="15" x14ac:dyDescent="0.25"/>
  <cols>
    <col min="1" max="1" width="9.7109375" customWidth="1"/>
    <col min="4" max="4" width="9.7109375" customWidth="1"/>
    <col min="5" max="5" width="9.85546875" customWidth="1"/>
    <col min="6" max="6" width="10" customWidth="1"/>
    <col min="7" max="7" width="9.85546875" customWidth="1"/>
    <col min="8" max="8" width="10" customWidth="1"/>
    <col min="9" max="9" width="9.5703125" customWidth="1"/>
    <col min="10" max="10" width="9.7109375" customWidth="1"/>
    <col min="11" max="11" width="10" customWidth="1"/>
    <col min="12" max="13" width="9.5703125" customWidth="1"/>
    <col min="14" max="14" width="9.85546875" customWidth="1"/>
  </cols>
  <sheetData>
    <row r="2" spans="1:2" x14ac:dyDescent="0.25">
      <c r="A2" t="s">
        <v>9</v>
      </c>
    </row>
    <row r="3" spans="1:2" x14ac:dyDescent="0.25">
      <c r="A3" t="s">
        <v>88</v>
      </c>
      <c r="B3" t="s">
        <v>17</v>
      </c>
    </row>
    <row r="4" spans="1:2" x14ac:dyDescent="0.25">
      <c r="A4" t="s">
        <v>90</v>
      </c>
      <c r="B4" t="s">
        <v>91</v>
      </c>
    </row>
    <row r="5" spans="1:2" x14ac:dyDescent="0.25">
      <c r="A5" t="s">
        <v>93</v>
      </c>
      <c r="B5" t="s">
        <v>94</v>
      </c>
    </row>
    <row r="6" spans="1:2" x14ac:dyDescent="0.25">
      <c r="A6" t="s">
        <v>97</v>
      </c>
      <c r="B6" t="s">
        <v>98</v>
      </c>
    </row>
    <row r="7" spans="1:2" x14ac:dyDescent="0.25">
      <c r="A7" t="s">
        <v>100</v>
      </c>
      <c r="B7" t="s">
        <v>101</v>
      </c>
    </row>
    <row r="8" spans="1:2" x14ac:dyDescent="0.25">
      <c r="A8" t="s">
        <v>103</v>
      </c>
      <c r="B8" t="s">
        <v>17</v>
      </c>
    </row>
    <row r="9" spans="1:2" x14ac:dyDescent="0.25">
      <c r="A9" t="s">
        <v>105</v>
      </c>
      <c r="B9" t="s">
        <v>106</v>
      </c>
    </row>
    <row r="10" spans="1:2" x14ac:dyDescent="0.25">
      <c r="A10" t="s">
        <v>108</v>
      </c>
      <c r="B10" t="s">
        <v>109</v>
      </c>
    </row>
    <row r="11" spans="1:2" x14ac:dyDescent="0.25">
      <c r="A11" t="s">
        <v>111</v>
      </c>
      <c r="B11" t="s">
        <v>112</v>
      </c>
    </row>
    <row r="13" spans="1:2" x14ac:dyDescent="0.25">
      <c r="A13" s="47" t="s">
        <v>243</v>
      </c>
    </row>
    <row r="14" spans="1:2" x14ac:dyDescent="0.25">
      <c r="A14" s="64" t="s">
        <v>244</v>
      </c>
    </row>
    <row r="15" spans="1:2" x14ac:dyDescent="0.25">
      <c r="A15" s="66" t="s">
        <v>245</v>
      </c>
    </row>
    <row r="16" spans="1:2" x14ac:dyDescent="0.25">
      <c r="A16" s="68" t="s">
        <v>246</v>
      </c>
    </row>
    <row r="25" spans="1:14" x14ac:dyDescent="0.25">
      <c r="A25" s="7"/>
      <c r="B25" s="7"/>
      <c r="C25" s="7" t="s">
        <v>201</v>
      </c>
      <c r="D25" s="28" t="s">
        <v>202</v>
      </c>
      <c r="E25" s="28" t="s">
        <v>202</v>
      </c>
      <c r="F25" s="28" t="s">
        <v>202</v>
      </c>
      <c r="G25" s="28" t="s">
        <v>202</v>
      </c>
      <c r="H25" s="28" t="s">
        <v>202</v>
      </c>
      <c r="I25" s="28" t="s">
        <v>202</v>
      </c>
      <c r="J25" s="28" t="s">
        <v>202</v>
      </c>
      <c r="K25" s="28" t="s">
        <v>202</v>
      </c>
      <c r="L25" s="28" t="s">
        <v>202</v>
      </c>
      <c r="M25" s="28" t="s">
        <v>202</v>
      </c>
    </row>
    <row r="26" spans="1:14" x14ac:dyDescent="0.25">
      <c r="A26" s="7" t="s">
        <v>203</v>
      </c>
      <c r="B26" s="7"/>
      <c r="C26" s="7"/>
      <c r="D26" s="14" t="s">
        <v>204</v>
      </c>
      <c r="E26" s="14" t="s">
        <v>205</v>
      </c>
      <c r="F26" s="14" t="s">
        <v>206</v>
      </c>
      <c r="G26" s="14" t="s">
        <v>207</v>
      </c>
      <c r="H26" s="14" t="s">
        <v>208</v>
      </c>
      <c r="I26" s="14" t="s">
        <v>210</v>
      </c>
      <c r="J26" s="14" t="s">
        <v>211</v>
      </c>
      <c r="K26" s="14" t="s">
        <v>212</v>
      </c>
      <c r="L26" s="14" t="s">
        <v>209</v>
      </c>
      <c r="M26" s="14" t="s">
        <v>213</v>
      </c>
      <c r="N26" s="14" t="s">
        <v>214</v>
      </c>
    </row>
    <row r="27" spans="1:14" x14ac:dyDescent="0.25">
      <c r="A27" s="7" t="s">
        <v>215</v>
      </c>
      <c r="B27" s="7" t="s">
        <v>216</v>
      </c>
      <c r="C27" s="7" t="s">
        <v>8</v>
      </c>
      <c r="D27" s="8">
        <v>44389</v>
      </c>
      <c r="E27" s="8">
        <v>44390</v>
      </c>
      <c r="F27" s="8">
        <v>44391</v>
      </c>
      <c r="G27" s="8">
        <v>44392</v>
      </c>
      <c r="H27" s="8">
        <v>44393</v>
      </c>
      <c r="I27" s="8">
        <v>44394</v>
      </c>
      <c r="J27" s="8">
        <v>44395</v>
      </c>
      <c r="K27" s="8">
        <v>44396</v>
      </c>
      <c r="L27" s="8">
        <v>44397</v>
      </c>
      <c r="M27" s="8">
        <v>44398</v>
      </c>
      <c r="N27" s="8">
        <v>44399</v>
      </c>
    </row>
    <row r="28" spans="1:14" x14ac:dyDescent="0.25">
      <c r="A28" s="43" t="s">
        <v>86</v>
      </c>
      <c r="B28" s="56">
        <v>1</v>
      </c>
      <c r="C28" s="43" t="s">
        <v>19</v>
      </c>
      <c r="D28" s="58">
        <v>564</v>
      </c>
      <c r="E28" s="43"/>
      <c r="F28" s="43"/>
      <c r="G28" s="43">
        <v>574</v>
      </c>
      <c r="H28" s="43"/>
      <c r="I28" s="43"/>
      <c r="J28" s="43"/>
      <c r="K28" s="43">
        <v>580</v>
      </c>
      <c r="L28" s="57"/>
      <c r="M28" s="43"/>
      <c r="N28" s="43"/>
    </row>
    <row r="29" spans="1:14" x14ac:dyDescent="0.25">
      <c r="A29" s="43" t="s">
        <v>89</v>
      </c>
      <c r="B29" s="56">
        <v>2</v>
      </c>
      <c r="C29" s="43" t="s">
        <v>19</v>
      </c>
      <c r="D29" s="58">
        <v>639</v>
      </c>
      <c r="E29" s="43"/>
      <c r="F29" s="43"/>
      <c r="G29" s="43">
        <v>632</v>
      </c>
      <c r="H29" s="43"/>
      <c r="I29" s="43"/>
      <c r="J29" s="43"/>
      <c r="K29" s="43">
        <v>640</v>
      </c>
      <c r="L29" s="57"/>
      <c r="M29" s="43"/>
      <c r="N29" s="43"/>
    </row>
    <row r="30" spans="1:14" x14ac:dyDescent="0.25">
      <c r="A30" s="43" t="s">
        <v>92</v>
      </c>
      <c r="B30" s="56">
        <v>3</v>
      </c>
      <c r="C30" s="43" t="s">
        <v>19</v>
      </c>
      <c r="D30" s="58">
        <v>624</v>
      </c>
      <c r="E30" s="43"/>
      <c r="F30" s="43"/>
      <c r="G30" s="43">
        <v>635</v>
      </c>
      <c r="H30" s="43"/>
      <c r="I30" s="43"/>
      <c r="J30" s="43"/>
      <c r="K30" s="63">
        <v>650</v>
      </c>
      <c r="L30" s="57"/>
      <c r="M30" s="69"/>
      <c r="N30" s="43"/>
    </row>
    <row r="31" spans="1:14" x14ac:dyDescent="0.25">
      <c r="A31" s="43" t="s">
        <v>95</v>
      </c>
      <c r="B31" s="56">
        <v>4</v>
      </c>
      <c r="C31" s="43" t="s">
        <v>96</v>
      </c>
      <c r="D31" s="62">
        <v>382</v>
      </c>
      <c r="E31" s="63"/>
      <c r="F31" s="43"/>
      <c r="G31" s="43">
        <v>356</v>
      </c>
      <c r="H31" s="43"/>
      <c r="I31" s="43"/>
      <c r="J31" s="43"/>
      <c r="K31" s="43">
        <v>370</v>
      </c>
      <c r="L31" s="57"/>
      <c r="M31" s="43"/>
      <c r="N31" s="43"/>
    </row>
    <row r="32" spans="1:14" x14ac:dyDescent="0.25">
      <c r="A32" s="43" t="s">
        <v>99</v>
      </c>
      <c r="B32" s="56">
        <v>5</v>
      </c>
      <c r="C32" s="43" t="s">
        <v>96</v>
      </c>
      <c r="D32" s="62">
        <v>336</v>
      </c>
      <c r="E32" s="63"/>
      <c r="F32" s="43"/>
      <c r="G32" s="43">
        <v>347</v>
      </c>
      <c r="H32" s="63"/>
      <c r="I32" s="63"/>
      <c r="J32" s="43"/>
      <c r="K32" s="43">
        <v>376</v>
      </c>
      <c r="L32" s="57"/>
      <c r="M32" s="63"/>
      <c r="N32" s="43"/>
    </row>
    <row r="33" spans="1:14" x14ac:dyDescent="0.25">
      <c r="A33" s="43" t="s">
        <v>102</v>
      </c>
      <c r="B33" s="56">
        <v>6</v>
      </c>
      <c r="C33" s="43" t="s">
        <v>96</v>
      </c>
      <c r="D33" s="62">
        <v>369</v>
      </c>
      <c r="E33" s="63"/>
      <c r="F33" s="43"/>
      <c r="G33" s="43">
        <v>365</v>
      </c>
      <c r="H33" s="43"/>
      <c r="I33" s="63"/>
      <c r="J33" s="43"/>
      <c r="K33" s="43">
        <v>380</v>
      </c>
      <c r="L33" s="57"/>
      <c r="M33" s="63"/>
      <c r="N33" s="43"/>
    </row>
    <row r="34" spans="1:14" x14ac:dyDescent="0.25">
      <c r="A34" s="43" t="s">
        <v>104</v>
      </c>
      <c r="B34" s="56">
        <v>7</v>
      </c>
      <c r="C34" s="43" t="s">
        <v>96</v>
      </c>
      <c r="D34" s="58">
        <v>354</v>
      </c>
      <c r="E34" s="43"/>
      <c r="F34" s="43"/>
      <c r="G34" s="43">
        <v>397</v>
      </c>
      <c r="H34" s="43"/>
      <c r="I34" s="43"/>
      <c r="J34" s="43"/>
      <c r="K34" s="63">
        <v>397</v>
      </c>
      <c r="L34" s="57"/>
      <c r="M34" s="43"/>
      <c r="N34" s="43"/>
    </row>
    <row r="35" spans="1:14" x14ac:dyDescent="0.25">
      <c r="A35" s="43" t="s">
        <v>107</v>
      </c>
      <c r="B35" s="56">
        <v>8</v>
      </c>
      <c r="C35" s="43" t="s">
        <v>19</v>
      </c>
      <c r="D35" s="58">
        <v>387</v>
      </c>
      <c r="E35" s="43"/>
      <c r="F35" s="43"/>
      <c r="G35" s="63">
        <v>412</v>
      </c>
      <c r="H35" s="63"/>
      <c r="I35" s="63"/>
      <c r="J35" s="43"/>
      <c r="K35" s="43">
        <v>410</v>
      </c>
      <c r="L35" s="57"/>
      <c r="M35" s="43"/>
      <c r="N35" s="43"/>
    </row>
    <row r="36" spans="1:14" x14ac:dyDescent="0.25">
      <c r="A36" s="43" t="s">
        <v>110</v>
      </c>
      <c r="B36" s="56">
        <v>9</v>
      </c>
      <c r="C36" s="43" t="s">
        <v>19</v>
      </c>
      <c r="D36" s="62">
        <v>406</v>
      </c>
      <c r="E36" s="43"/>
      <c r="F36" s="43"/>
      <c r="G36" s="43">
        <v>396</v>
      </c>
      <c r="H36" s="63"/>
      <c r="I36" s="43"/>
      <c r="J36" s="43"/>
      <c r="K36" s="63">
        <v>418</v>
      </c>
      <c r="L36" s="57"/>
      <c r="M36" s="43"/>
      <c r="N36" s="43"/>
    </row>
    <row r="37" spans="1:14" x14ac:dyDescent="0.25">
      <c r="A37" s="43" t="s">
        <v>113</v>
      </c>
      <c r="B37" s="56">
        <v>10</v>
      </c>
      <c r="C37" s="43" t="s">
        <v>12</v>
      </c>
      <c r="D37" s="58">
        <v>378</v>
      </c>
      <c r="E37" s="43"/>
      <c r="F37" s="43"/>
      <c r="G37" s="63">
        <v>373</v>
      </c>
      <c r="H37" s="63"/>
      <c r="I37" s="43"/>
      <c r="J37" s="43"/>
      <c r="K37" s="67">
        <v>390</v>
      </c>
      <c r="L37" s="57"/>
      <c r="M37" s="43"/>
      <c r="N37" s="43"/>
    </row>
    <row r="38" spans="1:14" x14ac:dyDescent="0.25">
      <c r="A38" s="43" t="s">
        <v>114</v>
      </c>
      <c r="B38" s="56">
        <v>11</v>
      </c>
      <c r="C38" s="43" t="s">
        <v>96</v>
      </c>
      <c r="D38" s="62">
        <v>322</v>
      </c>
      <c r="E38" s="65"/>
      <c r="F38" s="43"/>
      <c r="G38" s="43">
        <v>334</v>
      </c>
      <c r="H38" s="43"/>
      <c r="I38" s="43"/>
      <c r="J38" s="43"/>
      <c r="K38" s="43">
        <v>370</v>
      </c>
      <c r="L38" s="57"/>
      <c r="M38" s="43"/>
      <c r="N38" s="43"/>
    </row>
    <row r="39" spans="1:14" x14ac:dyDescent="0.25">
      <c r="A39" s="43" t="s">
        <v>115</v>
      </c>
      <c r="B39" s="56">
        <v>12</v>
      </c>
      <c r="C39" s="43" t="s">
        <v>96</v>
      </c>
      <c r="D39" s="58">
        <v>353</v>
      </c>
      <c r="E39" s="43"/>
      <c r="F39" s="43"/>
      <c r="G39" s="43">
        <v>363</v>
      </c>
      <c r="H39" s="43"/>
      <c r="I39" s="43"/>
      <c r="J39" s="43"/>
      <c r="K39" s="43">
        <v>385</v>
      </c>
      <c r="L39" s="57"/>
      <c r="M39" s="43"/>
      <c r="N39" s="43"/>
    </row>
    <row r="40" spans="1:14" x14ac:dyDescent="0.25">
      <c r="A40" s="43" t="s">
        <v>116</v>
      </c>
      <c r="B40" s="56">
        <v>13</v>
      </c>
      <c r="C40" s="43" t="s">
        <v>96</v>
      </c>
      <c r="D40" s="58">
        <v>375</v>
      </c>
      <c r="E40" s="43"/>
      <c r="F40" s="63"/>
      <c r="G40" s="63">
        <v>376</v>
      </c>
      <c r="H40" s="63"/>
      <c r="I40" s="63"/>
      <c r="J40" s="43"/>
      <c r="K40" s="67">
        <v>370</v>
      </c>
      <c r="L40" s="57"/>
      <c r="M40" s="43"/>
      <c r="N40" s="43"/>
    </row>
    <row r="41" spans="1:14" x14ac:dyDescent="0.25">
      <c r="A41" s="43" t="s">
        <v>117</v>
      </c>
      <c r="B41" s="56">
        <v>14</v>
      </c>
      <c r="C41" s="43" t="s">
        <v>96</v>
      </c>
      <c r="D41" s="58">
        <v>356</v>
      </c>
      <c r="E41" s="43"/>
      <c r="F41" s="63"/>
      <c r="G41" s="63">
        <v>368</v>
      </c>
      <c r="H41" s="63"/>
      <c r="I41" s="43"/>
      <c r="J41" s="43"/>
      <c r="K41" s="63">
        <v>390</v>
      </c>
      <c r="L41" s="57"/>
      <c r="M41" s="43"/>
      <c r="N41" s="43"/>
    </row>
    <row r="42" spans="1:14" x14ac:dyDescent="0.25">
      <c r="A42" s="43" t="s">
        <v>118</v>
      </c>
      <c r="B42" s="56">
        <v>15</v>
      </c>
      <c r="C42" s="43" t="s">
        <v>96</v>
      </c>
      <c r="D42" s="58">
        <v>329</v>
      </c>
      <c r="E42" s="43"/>
      <c r="F42" s="43"/>
      <c r="G42" s="43">
        <v>332</v>
      </c>
      <c r="H42" s="43"/>
      <c r="I42" s="43"/>
      <c r="J42" s="43"/>
      <c r="K42" s="63">
        <v>360</v>
      </c>
      <c r="L42" s="57"/>
      <c r="M42" s="43"/>
      <c r="N42" s="43"/>
    </row>
    <row r="43" spans="1:14" x14ac:dyDescent="0.25">
      <c r="A43" s="43" t="s">
        <v>119</v>
      </c>
      <c r="B43" s="56">
        <v>16</v>
      </c>
      <c r="C43" s="43" t="s">
        <v>96</v>
      </c>
      <c r="D43" s="58">
        <v>340</v>
      </c>
      <c r="E43" s="43"/>
      <c r="F43" s="43"/>
      <c r="G43" s="43">
        <v>325</v>
      </c>
      <c r="H43" s="43"/>
      <c r="I43" s="43"/>
      <c r="J43" s="43"/>
      <c r="K43" s="43">
        <v>325</v>
      </c>
      <c r="L43" s="57"/>
      <c r="M43" s="43"/>
      <c r="N43" s="43"/>
    </row>
    <row r="46" spans="1:14" x14ac:dyDescent="0.25">
      <c r="A46" s="7" t="s">
        <v>218</v>
      </c>
      <c r="B46" s="7"/>
      <c r="C46" s="7"/>
      <c r="D46" s="14" t="s">
        <v>204</v>
      </c>
      <c r="E46" s="14" t="s">
        <v>205</v>
      </c>
      <c r="F46" s="14" t="s">
        <v>206</v>
      </c>
      <c r="G46" s="14" t="s">
        <v>207</v>
      </c>
      <c r="H46" s="14" t="s">
        <v>208</v>
      </c>
      <c r="I46" s="14" t="s">
        <v>210</v>
      </c>
      <c r="J46" s="14" t="s">
        <v>211</v>
      </c>
      <c r="K46" s="14" t="s">
        <v>212</v>
      </c>
      <c r="L46" s="14" t="s">
        <v>209</v>
      </c>
      <c r="M46" s="14" t="s">
        <v>213</v>
      </c>
      <c r="N46" s="14" t="s">
        <v>214</v>
      </c>
    </row>
    <row r="47" spans="1:14" x14ac:dyDescent="0.25">
      <c r="A47" s="7" t="s">
        <v>215</v>
      </c>
      <c r="B47" s="7" t="s">
        <v>216</v>
      </c>
      <c r="C47" s="7" t="s">
        <v>8</v>
      </c>
      <c r="D47" s="8">
        <v>44389</v>
      </c>
      <c r="E47" s="8">
        <v>44390</v>
      </c>
      <c r="F47" s="8">
        <v>44391</v>
      </c>
      <c r="G47" s="8">
        <v>44392</v>
      </c>
      <c r="H47" s="8">
        <v>44393</v>
      </c>
      <c r="I47" s="8">
        <v>44394</v>
      </c>
      <c r="J47" s="8">
        <v>44395</v>
      </c>
      <c r="K47" s="8">
        <v>44396</v>
      </c>
      <c r="L47" s="8">
        <v>44397</v>
      </c>
      <c r="M47" s="8">
        <v>44398</v>
      </c>
      <c r="N47" s="8">
        <v>44399</v>
      </c>
    </row>
    <row r="48" spans="1:14" x14ac:dyDescent="0.25">
      <c r="A48" s="43" t="s">
        <v>86</v>
      </c>
      <c r="B48" s="56">
        <v>1</v>
      </c>
      <c r="C48" s="43" t="s">
        <v>19</v>
      </c>
      <c r="D48" s="58">
        <v>28</v>
      </c>
      <c r="E48" s="43">
        <v>38</v>
      </c>
      <c r="F48" s="43">
        <v>34</v>
      </c>
      <c r="G48" s="43">
        <v>52</v>
      </c>
      <c r="H48" s="43">
        <v>33</v>
      </c>
      <c r="I48" s="43">
        <v>18</v>
      </c>
      <c r="J48" s="43">
        <v>24</v>
      </c>
      <c r="K48" s="43">
        <v>34</v>
      </c>
      <c r="L48" s="57"/>
      <c r="M48" s="43">
        <v>29</v>
      </c>
      <c r="N48" s="43">
        <v>23</v>
      </c>
    </row>
    <row r="49" spans="1:14" x14ac:dyDescent="0.25">
      <c r="A49" s="43" t="s">
        <v>89</v>
      </c>
      <c r="B49" s="56">
        <v>2</v>
      </c>
      <c r="C49" s="43" t="s">
        <v>19</v>
      </c>
      <c r="D49" s="58">
        <v>6</v>
      </c>
      <c r="E49" s="43">
        <v>7</v>
      </c>
      <c r="F49" s="43">
        <v>8</v>
      </c>
      <c r="G49" s="43">
        <v>6</v>
      </c>
      <c r="H49" s="43">
        <v>9</v>
      </c>
      <c r="I49" s="43">
        <v>3</v>
      </c>
      <c r="J49" s="43">
        <v>7</v>
      </c>
      <c r="K49" s="43">
        <v>6</v>
      </c>
      <c r="L49" s="57"/>
      <c r="M49" s="43">
        <v>12</v>
      </c>
      <c r="N49" s="43">
        <v>4</v>
      </c>
    </row>
    <row r="50" spans="1:14" x14ac:dyDescent="0.25">
      <c r="A50" s="43" t="s">
        <v>92</v>
      </c>
      <c r="B50" s="56">
        <v>3</v>
      </c>
      <c r="C50" s="43" t="s">
        <v>19</v>
      </c>
      <c r="D50" s="58">
        <v>59</v>
      </c>
      <c r="E50" s="43">
        <v>24</v>
      </c>
      <c r="F50" s="43">
        <v>24</v>
      </c>
      <c r="G50" s="43">
        <v>12</v>
      </c>
      <c r="H50" s="43">
        <v>11</v>
      </c>
      <c r="I50" s="43">
        <v>13</v>
      </c>
      <c r="J50" s="43">
        <v>18</v>
      </c>
      <c r="K50" s="63">
        <v>16</v>
      </c>
      <c r="L50" s="57"/>
      <c r="M50" s="69">
        <v>33</v>
      </c>
      <c r="N50" s="43">
        <v>35</v>
      </c>
    </row>
    <row r="51" spans="1:14" x14ac:dyDescent="0.25">
      <c r="A51" s="43" t="s">
        <v>95</v>
      </c>
      <c r="B51" s="56">
        <v>4</v>
      </c>
      <c r="C51" s="43" t="s">
        <v>96</v>
      </c>
      <c r="D51" s="62">
        <v>67</v>
      </c>
      <c r="E51" s="63">
        <v>75</v>
      </c>
      <c r="F51" s="43">
        <v>75</v>
      </c>
      <c r="G51" s="43">
        <v>75</v>
      </c>
      <c r="H51" s="43">
        <v>75</v>
      </c>
      <c r="I51" s="43">
        <v>46</v>
      </c>
      <c r="J51" s="43">
        <v>66</v>
      </c>
      <c r="K51" s="43">
        <v>39</v>
      </c>
      <c r="L51" s="57"/>
      <c r="M51" s="43">
        <v>71</v>
      </c>
      <c r="N51" s="43">
        <v>48</v>
      </c>
    </row>
    <row r="52" spans="1:14" x14ac:dyDescent="0.25">
      <c r="A52" s="43" t="s">
        <v>99</v>
      </c>
      <c r="B52" s="56">
        <v>5</v>
      </c>
      <c r="C52" s="43" t="s">
        <v>96</v>
      </c>
      <c r="D52" s="62">
        <v>14</v>
      </c>
      <c r="E52" s="63">
        <v>24</v>
      </c>
      <c r="F52" s="43">
        <v>28</v>
      </c>
      <c r="G52" s="43">
        <v>21</v>
      </c>
      <c r="H52" s="63">
        <v>25</v>
      </c>
      <c r="I52" s="63">
        <v>22</v>
      </c>
      <c r="J52" s="43">
        <v>17</v>
      </c>
      <c r="K52" s="43">
        <v>20</v>
      </c>
      <c r="L52" s="57"/>
      <c r="M52" s="63">
        <v>17</v>
      </c>
      <c r="N52" s="43">
        <v>16</v>
      </c>
    </row>
    <row r="53" spans="1:14" x14ac:dyDescent="0.25">
      <c r="A53" s="43" t="s">
        <v>102</v>
      </c>
      <c r="B53" s="56">
        <v>6</v>
      </c>
      <c r="C53" s="43" t="s">
        <v>96</v>
      </c>
      <c r="D53" s="62">
        <v>11</v>
      </c>
      <c r="E53" s="63">
        <v>15</v>
      </c>
      <c r="F53" s="43">
        <v>28</v>
      </c>
      <c r="G53" s="43">
        <v>16</v>
      </c>
      <c r="H53" s="43">
        <v>5</v>
      </c>
      <c r="I53" s="63">
        <v>8</v>
      </c>
      <c r="J53" s="43">
        <v>5</v>
      </c>
      <c r="K53" s="43">
        <v>8</v>
      </c>
      <c r="L53" s="57"/>
      <c r="M53" s="63">
        <v>4</v>
      </c>
      <c r="N53" s="43">
        <v>5</v>
      </c>
    </row>
    <row r="54" spans="1:14" x14ac:dyDescent="0.25">
      <c r="A54" s="43" t="s">
        <v>104</v>
      </c>
      <c r="B54" s="56">
        <v>7</v>
      </c>
      <c r="C54" s="43" t="s">
        <v>96</v>
      </c>
      <c r="D54" s="58">
        <v>29</v>
      </c>
      <c r="E54" s="43">
        <v>11</v>
      </c>
      <c r="F54" s="43">
        <v>27</v>
      </c>
      <c r="G54" s="43">
        <v>24</v>
      </c>
      <c r="H54" s="43">
        <v>28</v>
      </c>
      <c r="I54" s="43">
        <v>27</v>
      </c>
      <c r="J54" s="43">
        <v>52</v>
      </c>
      <c r="K54" s="63">
        <v>54</v>
      </c>
      <c r="L54" s="57"/>
      <c r="M54" s="43">
        <v>69</v>
      </c>
      <c r="N54" s="43">
        <v>41</v>
      </c>
    </row>
    <row r="55" spans="1:14" x14ac:dyDescent="0.25">
      <c r="A55" s="43" t="s">
        <v>107</v>
      </c>
      <c r="B55" s="56">
        <v>8</v>
      </c>
      <c r="C55" s="43" t="s">
        <v>19</v>
      </c>
      <c r="D55" s="58">
        <v>8</v>
      </c>
      <c r="E55" s="43">
        <v>6</v>
      </c>
      <c r="F55" s="43">
        <v>9</v>
      </c>
      <c r="G55" s="63">
        <v>9</v>
      </c>
      <c r="H55" s="63">
        <v>6</v>
      </c>
      <c r="I55" s="63">
        <v>5</v>
      </c>
      <c r="J55" s="43">
        <v>4</v>
      </c>
      <c r="K55" s="43">
        <v>6</v>
      </c>
      <c r="L55" s="57"/>
      <c r="M55" s="43">
        <v>8</v>
      </c>
      <c r="N55" s="43">
        <v>9</v>
      </c>
    </row>
    <row r="56" spans="1:14" x14ac:dyDescent="0.25">
      <c r="A56" s="43" t="s">
        <v>110</v>
      </c>
      <c r="B56" s="56">
        <v>9</v>
      </c>
      <c r="C56" s="43" t="s">
        <v>19</v>
      </c>
      <c r="D56" s="62">
        <v>4</v>
      </c>
      <c r="E56" s="43">
        <v>39</v>
      </c>
      <c r="F56" s="43">
        <v>75</v>
      </c>
      <c r="G56" s="43">
        <v>60</v>
      </c>
      <c r="H56" s="63">
        <v>22</v>
      </c>
      <c r="I56" s="43">
        <v>14</v>
      </c>
      <c r="J56" s="43">
        <v>26</v>
      </c>
      <c r="K56" s="63">
        <v>21</v>
      </c>
      <c r="L56" s="57"/>
      <c r="M56" s="43">
        <v>20</v>
      </c>
      <c r="N56" s="43">
        <v>15</v>
      </c>
    </row>
    <row r="57" spans="1:14" x14ac:dyDescent="0.25">
      <c r="A57" s="43" t="s">
        <v>113</v>
      </c>
      <c r="B57" s="56">
        <v>10</v>
      </c>
      <c r="C57" s="43" t="s">
        <v>12</v>
      </c>
      <c r="D57" s="58">
        <v>20</v>
      </c>
      <c r="E57" s="43">
        <v>24</v>
      </c>
      <c r="F57" s="43">
        <v>30</v>
      </c>
      <c r="G57" s="63">
        <v>24</v>
      </c>
      <c r="H57" s="63">
        <v>29</v>
      </c>
      <c r="I57" s="43">
        <v>27</v>
      </c>
      <c r="J57" s="43">
        <v>35</v>
      </c>
      <c r="K57" s="67">
        <v>27</v>
      </c>
      <c r="L57" s="57"/>
      <c r="M57" s="43">
        <v>40</v>
      </c>
      <c r="N57" s="43">
        <v>31</v>
      </c>
    </row>
    <row r="58" spans="1:14" x14ac:dyDescent="0.25">
      <c r="A58" s="43" t="s">
        <v>114</v>
      </c>
      <c r="B58" s="56">
        <v>11</v>
      </c>
      <c r="C58" s="43" t="s">
        <v>96</v>
      </c>
      <c r="D58" s="62">
        <v>8</v>
      </c>
      <c r="E58" s="65">
        <v>19</v>
      </c>
      <c r="F58" s="43">
        <v>13</v>
      </c>
      <c r="G58" s="43">
        <v>15</v>
      </c>
      <c r="H58" s="43">
        <v>27</v>
      </c>
      <c r="I58" s="43">
        <v>38</v>
      </c>
      <c r="J58" s="43">
        <v>30</v>
      </c>
      <c r="K58" s="43">
        <v>46</v>
      </c>
      <c r="L58" s="57"/>
      <c r="M58" s="43">
        <v>47</v>
      </c>
      <c r="N58" s="43">
        <v>32</v>
      </c>
    </row>
    <row r="59" spans="1:14" x14ac:dyDescent="0.25">
      <c r="A59" s="43" t="s">
        <v>115</v>
      </c>
      <c r="B59" s="56">
        <v>12</v>
      </c>
      <c r="C59" s="43" t="s">
        <v>96</v>
      </c>
      <c r="D59" s="58">
        <v>18</v>
      </c>
      <c r="E59" s="43">
        <v>21</v>
      </c>
      <c r="F59" s="43">
        <v>18</v>
      </c>
      <c r="G59" s="43">
        <v>15</v>
      </c>
      <c r="H59" s="43">
        <v>19</v>
      </c>
      <c r="I59" s="43">
        <v>15</v>
      </c>
      <c r="J59" s="43">
        <v>10</v>
      </c>
      <c r="K59" s="43">
        <v>16</v>
      </c>
      <c r="L59" s="57"/>
      <c r="M59" s="43">
        <v>14</v>
      </c>
      <c r="N59" s="43">
        <v>21</v>
      </c>
    </row>
    <row r="60" spans="1:14" x14ac:dyDescent="0.25">
      <c r="A60" s="43" t="s">
        <v>116</v>
      </c>
      <c r="B60" s="56">
        <v>13</v>
      </c>
      <c r="C60" s="43" t="s">
        <v>96</v>
      </c>
      <c r="D60" s="58">
        <v>32</v>
      </c>
      <c r="E60" s="43">
        <v>36</v>
      </c>
      <c r="F60" s="63">
        <v>41</v>
      </c>
      <c r="G60" s="63">
        <v>42</v>
      </c>
      <c r="H60" s="63">
        <v>38</v>
      </c>
      <c r="I60" s="63">
        <v>35</v>
      </c>
      <c r="J60" s="43">
        <v>75</v>
      </c>
      <c r="K60" s="67">
        <v>55</v>
      </c>
      <c r="L60" s="57"/>
      <c r="M60" s="43">
        <v>75</v>
      </c>
      <c r="N60" s="43">
        <v>51</v>
      </c>
    </row>
    <row r="61" spans="1:14" x14ac:dyDescent="0.25">
      <c r="A61" s="43" t="s">
        <v>117</v>
      </c>
      <c r="B61" s="56">
        <v>14</v>
      </c>
      <c r="C61" s="43" t="s">
        <v>96</v>
      </c>
      <c r="D61" s="58">
        <v>37</v>
      </c>
      <c r="E61" s="43">
        <v>19</v>
      </c>
      <c r="F61" s="63">
        <v>22</v>
      </c>
      <c r="G61" s="63">
        <v>25</v>
      </c>
      <c r="H61" s="63">
        <v>15</v>
      </c>
      <c r="I61" s="43">
        <v>26</v>
      </c>
      <c r="J61" s="43">
        <v>26</v>
      </c>
      <c r="K61" s="63">
        <v>29</v>
      </c>
      <c r="L61" s="57"/>
      <c r="M61" s="43">
        <v>26</v>
      </c>
      <c r="N61" s="43">
        <v>17</v>
      </c>
    </row>
    <row r="62" spans="1:14" x14ac:dyDescent="0.25">
      <c r="A62" s="43" t="s">
        <v>118</v>
      </c>
      <c r="B62" s="56">
        <v>15</v>
      </c>
      <c r="C62" s="43" t="s">
        <v>96</v>
      </c>
      <c r="D62" s="58">
        <v>38</v>
      </c>
      <c r="E62" s="43">
        <v>25</v>
      </c>
      <c r="F62" s="43">
        <v>27</v>
      </c>
      <c r="G62" s="43">
        <v>30</v>
      </c>
      <c r="H62" s="43">
        <v>22</v>
      </c>
      <c r="I62" s="43">
        <v>22</v>
      </c>
      <c r="J62" s="43">
        <v>20</v>
      </c>
      <c r="K62" s="63">
        <v>30</v>
      </c>
      <c r="L62" s="57"/>
      <c r="M62" s="43">
        <v>35</v>
      </c>
      <c r="N62" s="43">
        <v>25</v>
      </c>
    </row>
    <row r="63" spans="1:14" x14ac:dyDescent="0.25">
      <c r="A63" s="43" t="s">
        <v>119</v>
      </c>
      <c r="B63" s="56">
        <v>16</v>
      </c>
      <c r="C63" s="43" t="s">
        <v>96</v>
      </c>
      <c r="D63" s="58">
        <v>53</v>
      </c>
      <c r="E63" s="43">
        <v>75</v>
      </c>
      <c r="F63" s="43">
        <v>75</v>
      </c>
      <c r="G63" s="43">
        <v>75</v>
      </c>
      <c r="H63" s="43">
        <v>75</v>
      </c>
      <c r="I63" s="43">
        <v>75</v>
      </c>
      <c r="J63" s="43">
        <v>75</v>
      </c>
      <c r="K63" s="43">
        <v>75</v>
      </c>
      <c r="L63" s="57"/>
      <c r="M63" s="43">
        <v>75</v>
      </c>
      <c r="N63" s="43">
        <v>75</v>
      </c>
    </row>
    <row r="66" spans="1:14" x14ac:dyDescent="0.25">
      <c r="A66" s="7" t="s">
        <v>219</v>
      </c>
      <c r="B66" s="7"/>
      <c r="C66" s="7"/>
      <c r="D66" s="14" t="s">
        <v>204</v>
      </c>
      <c r="E66" s="14" t="s">
        <v>205</v>
      </c>
      <c r="F66" s="14" t="s">
        <v>206</v>
      </c>
      <c r="G66" s="14" t="s">
        <v>207</v>
      </c>
      <c r="H66" s="14" t="s">
        <v>208</v>
      </c>
      <c r="I66" s="14" t="s">
        <v>210</v>
      </c>
      <c r="J66" s="14" t="s">
        <v>211</v>
      </c>
      <c r="K66" s="14" t="s">
        <v>212</v>
      </c>
      <c r="L66" s="14" t="s">
        <v>209</v>
      </c>
      <c r="M66" s="14" t="s">
        <v>213</v>
      </c>
      <c r="N66" s="14" t="s">
        <v>214</v>
      </c>
    </row>
    <row r="67" spans="1:14" x14ac:dyDescent="0.25">
      <c r="A67" s="7" t="s">
        <v>215</v>
      </c>
      <c r="B67" s="7" t="s">
        <v>216</v>
      </c>
      <c r="C67" s="7" t="s">
        <v>8</v>
      </c>
      <c r="D67" s="8">
        <v>44389</v>
      </c>
      <c r="E67" s="8">
        <v>44390</v>
      </c>
      <c r="F67" s="8">
        <v>44391</v>
      </c>
      <c r="G67" s="8">
        <v>44392</v>
      </c>
      <c r="H67" s="8">
        <v>44393</v>
      </c>
      <c r="I67" s="8">
        <v>44394</v>
      </c>
      <c r="J67" s="8">
        <v>44395</v>
      </c>
      <c r="K67" s="8">
        <v>44396</v>
      </c>
      <c r="L67" s="8">
        <v>44397</v>
      </c>
      <c r="M67" s="8">
        <v>44398</v>
      </c>
      <c r="N67" s="8">
        <v>44399</v>
      </c>
    </row>
    <row r="68" spans="1:14" x14ac:dyDescent="0.25">
      <c r="A68" s="43" t="s">
        <v>86</v>
      </c>
      <c r="B68" s="56">
        <v>1</v>
      </c>
      <c r="C68" s="43" t="s">
        <v>19</v>
      </c>
      <c r="D68" s="58">
        <v>45</v>
      </c>
      <c r="E68" s="43">
        <v>53</v>
      </c>
      <c r="F68" s="43">
        <v>47</v>
      </c>
      <c r="G68" s="43">
        <v>74</v>
      </c>
      <c r="H68" s="43">
        <v>51</v>
      </c>
      <c r="I68" s="43">
        <v>24</v>
      </c>
      <c r="J68" s="43">
        <v>34</v>
      </c>
      <c r="K68" s="43">
        <v>44</v>
      </c>
      <c r="L68" s="57"/>
      <c r="M68" s="43">
        <v>40</v>
      </c>
      <c r="N68" s="43">
        <v>30</v>
      </c>
    </row>
    <row r="69" spans="1:14" x14ac:dyDescent="0.25">
      <c r="A69" s="43" t="s">
        <v>89</v>
      </c>
      <c r="B69" s="56">
        <v>2</v>
      </c>
      <c r="C69" s="43" t="s">
        <v>19</v>
      </c>
      <c r="D69" s="58">
        <v>11</v>
      </c>
      <c r="E69" s="43">
        <v>13</v>
      </c>
      <c r="F69" s="43">
        <v>10</v>
      </c>
      <c r="G69" s="43">
        <v>6</v>
      </c>
      <c r="H69" s="43">
        <v>10</v>
      </c>
      <c r="I69" s="43">
        <v>5</v>
      </c>
      <c r="J69" s="43">
        <v>9</v>
      </c>
      <c r="K69" s="43">
        <v>6</v>
      </c>
      <c r="L69" s="57"/>
      <c r="M69" s="43">
        <v>15</v>
      </c>
      <c r="N69" s="43">
        <v>4</v>
      </c>
    </row>
    <row r="70" spans="1:14" x14ac:dyDescent="0.25">
      <c r="A70" s="43" t="s">
        <v>92</v>
      </c>
      <c r="B70" s="56">
        <v>3</v>
      </c>
      <c r="C70" s="43" t="s">
        <v>19</v>
      </c>
      <c r="D70" s="58">
        <v>107</v>
      </c>
      <c r="E70" s="43">
        <v>34</v>
      </c>
      <c r="F70" s="43">
        <v>33</v>
      </c>
      <c r="G70" s="43">
        <v>18</v>
      </c>
      <c r="H70" s="43">
        <v>17</v>
      </c>
      <c r="I70" s="43">
        <v>17</v>
      </c>
      <c r="J70" s="43">
        <v>25</v>
      </c>
      <c r="K70" s="63">
        <v>20</v>
      </c>
      <c r="L70" s="57"/>
      <c r="M70" s="69">
        <v>51</v>
      </c>
      <c r="N70" s="43">
        <v>51</v>
      </c>
    </row>
    <row r="71" spans="1:14" x14ac:dyDescent="0.25">
      <c r="A71" s="43" t="s">
        <v>95</v>
      </c>
      <c r="B71" s="56">
        <v>4</v>
      </c>
      <c r="C71" s="43" t="s">
        <v>96</v>
      </c>
      <c r="D71" s="62">
        <v>283</v>
      </c>
      <c r="E71" s="63">
        <v>427</v>
      </c>
      <c r="F71" s="43">
        <v>451</v>
      </c>
      <c r="G71" s="43">
        <v>584</v>
      </c>
      <c r="H71" s="43">
        <v>413</v>
      </c>
      <c r="I71" s="43">
        <v>142</v>
      </c>
      <c r="J71" s="43">
        <v>282</v>
      </c>
      <c r="K71" s="43">
        <v>93</v>
      </c>
      <c r="L71" s="57"/>
      <c r="M71" s="43">
        <v>381</v>
      </c>
      <c r="N71" s="43">
        <v>155</v>
      </c>
    </row>
    <row r="72" spans="1:14" x14ac:dyDescent="0.25">
      <c r="A72" s="43" t="s">
        <v>99</v>
      </c>
      <c r="B72" s="56">
        <v>5</v>
      </c>
      <c r="C72" s="43" t="s">
        <v>96</v>
      </c>
      <c r="D72" s="62">
        <v>26</v>
      </c>
      <c r="E72" s="63">
        <v>52</v>
      </c>
      <c r="F72" s="43">
        <v>54</v>
      </c>
      <c r="G72" s="43">
        <v>35</v>
      </c>
      <c r="H72" s="63">
        <v>40</v>
      </c>
      <c r="I72" s="63">
        <v>42</v>
      </c>
      <c r="J72" s="43">
        <v>32</v>
      </c>
      <c r="K72" s="43">
        <v>38</v>
      </c>
      <c r="L72" s="57"/>
      <c r="M72" s="63">
        <v>27</v>
      </c>
      <c r="N72" s="43">
        <v>25</v>
      </c>
    </row>
    <row r="73" spans="1:14" x14ac:dyDescent="0.25">
      <c r="A73" s="43" t="s">
        <v>102</v>
      </c>
      <c r="B73" s="56">
        <v>6</v>
      </c>
      <c r="C73" s="43" t="s">
        <v>96</v>
      </c>
      <c r="D73" s="62">
        <v>20</v>
      </c>
      <c r="E73" s="63">
        <v>22</v>
      </c>
      <c r="F73" s="43">
        <v>35</v>
      </c>
      <c r="G73" s="43">
        <v>23</v>
      </c>
      <c r="H73" s="43">
        <v>5</v>
      </c>
      <c r="I73" s="63">
        <v>14</v>
      </c>
      <c r="J73" s="43">
        <v>7</v>
      </c>
      <c r="K73" s="43">
        <v>8</v>
      </c>
      <c r="L73" s="57"/>
      <c r="M73" s="63">
        <v>6</v>
      </c>
      <c r="N73" s="43">
        <v>7</v>
      </c>
    </row>
    <row r="74" spans="1:14" x14ac:dyDescent="0.25">
      <c r="A74" s="43" t="s">
        <v>104</v>
      </c>
      <c r="B74" s="56">
        <v>7</v>
      </c>
      <c r="C74" s="43" t="s">
        <v>96</v>
      </c>
      <c r="D74" s="58">
        <v>41</v>
      </c>
      <c r="E74" s="43">
        <v>19</v>
      </c>
      <c r="F74" s="43">
        <v>33</v>
      </c>
      <c r="G74" s="43">
        <v>31</v>
      </c>
      <c r="H74" s="43">
        <v>35</v>
      </c>
      <c r="I74" s="43">
        <v>37</v>
      </c>
      <c r="J74" s="43">
        <v>63</v>
      </c>
      <c r="K74" s="63">
        <v>77</v>
      </c>
      <c r="L74" s="57"/>
      <c r="M74" s="43">
        <v>99</v>
      </c>
      <c r="N74" s="43">
        <v>59</v>
      </c>
    </row>
    <row r="75" spans="1:14" x14ac:dyDescent="0.25">
      <c r="A75" s="43" t="s">
        <v>107</v>
      </c>
      <c r="B75" s="56">
        <v>8</v>
      </c>
      <c r="C75" s="43" t="s">
        <v>19</v>
      </c>
      <c r="D75" s="58">
        <v>10</v>
      </c>
      <c r="E75" s="43">
        <v>7</v>
      </c>
      <c r="F75" s="43">
        <v>14</v>
      </c>
      <c r="G75" s="63">
        <v>17</v>
      </c>
      <c r="H75" s="63">
        <v>6</v>
      </c>
      <c r="I75" s="63">
        <v>8</v>
      </c>
      <c r="J75" s="43">
        <v>5</v>
      </c>
      <c r="K75" s="43">
        <v>9</v>
      </c>
      <c r="L75" s="57"/>
      <c r="M75" s="43">
        <v>9</v>
      </c>
      <c r="N75" s="43">
        <v>12</v>
      </c>
    </row>
    <row r="76" spans="1:14" x14ac:dyDescent="0.25">
      <c r="A76" s="43" t="s">
        <v>110</v>
      </c>
      <c r="B76" s="56">
        <v>9</v>
      </c>
      <c r="C76" s="43" t="s">
        <v>19</v>
      </c>
      <c r="D76" s="62">
        <v>5</v>
      </c>
      <c r="E76" s="43">
        <v>54</v>
      </c>
      <c r="F76" s="43">
        <v>108</v>
      </c>
      <c r="G76" s="43">
        <v>78</v>
      </c>
      <c r="H76" s="63">
        <v>25</v>
      </c>
      <c r="I76" s="43">
        <v>17</v>
      </c>
      <c r="J76" s="43">
        <v>35</v>
      </c>
      <c r="K76" s="63">
        <v>26</v>
      </c>
      <c r="L76" s="57"/>
      <c r="M76" s="43">
        <v>23</v>
      </c>
      <c r="N76" s="43">
        <v>24</v>
      </c>
    </row>
    <row r="77" spans="1:14" x14ac:dyDescent="0.25">
      <c r="A77" s="43" t="s">
        <v>113</v>
      </c>
      <c r="B77" s="56">
        <v>10</v>
      </c>
      <c r="C77" s="43" t="s">
        <v>12</v>
      </c>
      <c r="D77" s="58">
        <v>34</v>
      </c>
      <c r="E77" s="43">
        <v>58</v>
      </c>
      <c r="F77" s="43">
        <v>46</v>
      </c>
      <c r="G77" s="63">
        <v>50</v>
      </c>
      <c r="H77" s="63">
        <v>48</v>
      </c>
      <c r="I77" s="43">
        <v>42</v>
      </c>
      <c r="J77" s="43">
        <v>56</v>
      </c>
      <c r="K77" s="67">
        <v>92</v>
      </c>
      <c r="L77" s="57"/>
      <c r="M77" s="43">
        <v>95</v>
      </c>
      <c r="N77" s="43">
        <v>108</v>
      </c>
    </row>
    <row r="78" spans="1:14" x14ac:dyDescent="0.25">
      <c r="A78" s="43" t="s">
        <v>114</v>
      </c>
      <c r="B78" s="56">
        <v>11</v>
      </c>
      <c r="C78" s="43" t="s">
        <v>96</v>
      </c>
      <c r="D78" s="62">
        <v>13</v>
      </c>
      <c r="E78" s="65">
        <v>29</v>
      </c>
      <c r="F78" s="43">
        <v>18</v>
      </c>
      <c r="G78" s="43">
        <v>17</v>
      </c>
      <c r="H78" s="43">
        <v>48</v>
      </c>
      <c r="I78" s="43">
        <v>102</v>
      </c>
      <c r="J78" s="43">
        <v>77</v>
      </c>
      <c r="K78" s="43">
        <v>82</v>
      </c>
      <c r="L78" s="57"/>
      <c r="M78" s="43">
        <v>85</v>
      </c>
      <c r="N78" s="43">
        <v>51</v>
      </c>
    </row>
    <row r="79" spans="1:14" x14ac:dyDescent="0.25">
      <c r="A79" s="43" t="s">
        <v>115</v>
      </c>
      <c r="B79" s="56">
        <v>12</v>
      </c>
      <c r="C79" s="43" t="s">
        <v>96</v>
      </c>
      <c r="D79" s="58">
        <v>30</v>
      </c>
      <c r="E79" s="43">
        <v>23</v>
      </c>
      <c r="F79" s="43">
        <v>24</v>
      </c>
      <c r="G79" s="43">
        <v>24</v>
      </c>
      <c r="H79" s="43">
        <v>37</v>
      </c>
      <c r="I79" s="43">
        <v>22</v>
      </c>
      <c r="J79" s="43">
        <v>16</v>
      </c>
      <c r="K79" s="43">
        <v>26</v>
      </c>
      <c r="L79" s="57"/>
      <c r="M79" s="43">
        <v>18</v>
      </c>
      <c r="N79" s="43">
        <v>48</v>
      </c>
    </row>
    <row r="80" spans="1:14" x14ac:dyDescent="0.25">
      <c r="A80" s="43" t="s">
        <v>116</v>
      </c>
      <c r="B80" s="56">
        <v>13</v>
      </c>
      <c r="C80" s="43" t="s">
        <v>96</v>
      </c>
      <c r="D80" s="58">
        <v>52</v>
      </c>
      <c r="E80" s="43">
        <v>52</v>
      </c>
      <c r="F80" s="63">
        <v>67</v>
      </c>
      <c r="G80" s="63">
        <v>76</v>
      </c>
      <c r="H80" s="63">
        <v>63</v>
      </c>
      <c r="I80" s="63">
        <v>74</v>
      </c>
      <c r="J80" s="43">
        <v>145</v>
      </c>
      <c r="K80" s="67">
        <v>100</v>
      </c>
      <c r="L80" s="57"/>
      <c r="M80" s="43">
        <v>145</v>
      </c>
      <c r="N80" s="43">
        <v>84</v>
      </c>
    </row>
    <row r="81" spans="1:14" x14ac:dyDescent="0.25">
      <c r="A81" s="43" t="s">
        <v>117</v>
      </c>
      <c r="B81" s="56">
        <v>14</v>
      </c>
      <c r="C81" s="43" t="s">
        <v>96</v>
      </c>
      <c r="D81" s="58">
        <v>69</v>
      </c>
      <c r="E81" s="43">
        <v>47</v>
      </c>
      <c r="F81" s="63">
        <v>69</v>
      </c>
      <c r="G81" s="63">
        <v>36</v>
      </c>
      <c r="H81" s="63">
        <v>28</v>
      </c>
      <c r="I81" s="43">
        <v>43</v>
      </c>
      <c r="J81" s="43">
        <v>51</v>
      </c>
      <c r="K81" s="63">
        <v>49</v>
      </c>
      <c r="L81" s="57"/>
      <c r="M81" s="43">
        <v>50</v>
      </c>
      <c r="N81" s="43">
        <v>40</v>
      </c>
    </row>
    <row r="82" spans="1:14" x14ac:dyDescent="0.25">
      <c r="A82" s="43" t="s">
        <v>118</v>
      </c>
      <c r="B82" s="56">
        <v>15</v>
      </c>
      <c r="C82" s="43" t="s">
        <v>96</v>
      </c>
      <c r="D82" s="58">
        <v>108</v>
      </c>
      <c r="E82" s="43">
        <v>63</v>
      </c>
      <c r="F82" s="43">
        <v>53</v>
      </c>
      <c r="G82" s="43">
        <v>52</v>
      </c>
      <c r="H82" s="43">
        <v>42</v>
      </c>
      <c r="I82" s="43">
        <v>39</v>
      </c>
      <c r="J82" s="43">
        <v>38</v>
      </c>
      <c r="K82" s="63">
        <v>57</v>
      </c>
      <c r="L82" s="57"/>
      <c r="M82" s="43">
        <v>50</v>
      </c>
      <c r="N82" s="43">
        <v>61</v>
      </c>
    </row>
    <row r="83" spans="1:14" x14ac:dyDescent="0.25">
      <c r="A83" s="43" t="s">
        <v>119</v>
      </c>
      <c r="B83" s="56">
        <v>16</v>
      </c>
      <c r="C83" s="43" t="s">
        <v>96</v>
      </c>
      <c r="D83" s="58">
        <v>141</v>
      </c>
      <c r="E83" s="43">
        <v>243</v>
      </c>
      <c r="F83" s="43">
        <v>222</v>
      </c>
      <c r="G83" s="43">
        <v>237</v>
      </c>
      <c r="H83" s="43">
        <v>243</v>
      </c>
      <c r="I83" s="43">
        <v>287</v>
      </c>
      <c r="J83" s="43">
        <v>380</v>
      </c>
      <c r="K83" s="43">
        <v>302</v>
      </c>
      <c r="L83" s="57"/>
      <c r="M83" s="43">
        <v>288</v>
      </c>
      <c r="N83" s="43">
        <v>338</v>
      </c>
    </row>
    <row r="86" spans="1:14" x14ac:dyDescent="0.25">
      <c r="A86" s="7" t="s">
        <v>220</v>
      </c>
      <c r="B86" s="7"/>
      <c r="C86" s="7"/>
      <c r="D86" s="14" t="s">
        <v>204</v>
      </c>
      <c r="E86" s="14" t="s">
        <v>205</v>
      </c>
      <c r="F86" s="14" t="s">
        <v>206</v>
      </c>
      <c r="G86" s="14" t="s">
        <v>207</v>
      </c>
      <c r="H86" s="14" t="s">
        <v>208</v>
      </c>
      <c r="I86" s="14" t="s">
        <v>210</v>
      </c>
      <c r="J86" s="14" t="s">
        <v>211</v>
      </c>
      <c r="K86" s="14" t="s">
        <v>212</v>
      </c>
      <c r="L86" s="14" t="s">
        <v>209</v>
      </c>
      <c r="M86" s="14" t="s">
        <v>213</v>
      </c>
      <c r="N86" s="14" t="s">
        <v>214</v>
      </c>
    </row>
    <row r="87" spans="1:14" x14ac:dyDescent="0.25">
      <c r="A87" s="7" t="s">
        <v>215</v>
      </c>
      <c r="B87" s="7" t="s">
        <v>216</v>
      </c>
      <c r="C87" s="7" t="s">
        <v>8</v>
      </c>
      <c r="D87" s="8">
        <v>44389</v>
      </c>
      <c r="E87" s="8">
        <v>44390</v>
      </c>
      <c r="F87" s="8">
        <v>44391</v>
      </c>
      <c r="G87" s="8">
        <v>44392</v>
      </c>
      <c r="H87" s="8">
        <v>44393</v>
      </c>
      <c r="I87" s="8">
        <v>44394</v>
      </c>
      <c r="J87" s="8">
        <v>44395</v>
      </c>
      <c r="K87" s="8">
        <v>44396</v>
      </c>
      <c r="L87" s="8">
        <v>44397</v>
      </c>
      <c r="M87" s="8">
        <v>44398</v>
      </c>
      <c r="N87" s="8">
        <v>44399</v>
      </c>
    </row>
    <row r="88" spans="1:14" x14ac:dyDescent="0.25">
      <c r="A88" s="43" t="s">
        <v>86</v>
      </c>
      <c r="B88" s="56">
        <v>1</v>
      </c>
      <c r="C88" s="43" t="s">
        <v>19</v>
      </c>
      <c r="D88" s="58">
        <v>38</v>
      </c>
      <c r="E88" s="43">
        <v>40</v>
      </c>
      <c r="F88" s="43">
        <v>37</v>
      </c>
      <c r="G88" s="43">
        <v>17</v>
      </c>
      <c r="H88" s="43">
        <v>19</v>
      </c>
      <c r="I88" s="43">
        <v>8</v>
      </c>
      <c r="J88" s="43">
        <v>4</v>
      </c>
      <c r="K88" s="43">
        <v>3</v>
      </c>
      <c r="L88" s="57"/>
      <c r="M88" s="43">
        <v>4</v>
      </c>
      <c r="N88" s="43">
        <v>9</v>
      </c>
    </row>
    <row r="89" spans="1:14" x14ac:dyDescent="0.25">
      <c r="A89" s="43" t="s">
        <v>89</v>
      </c>
      <c r="B89" s="56">
        <v>2</v>
      </c>
      <c r="C89" s="43" t="s">
        <v>19</v>
      </c>
      <c r="D89" s="58">
        <v>0</v>
      </c>
      <c r="E89" s="43">
        <v>2</v>
      </c>
      <c r="F89" s="43">
        <v>1</v>
      </c>
      <c r="G89" s="43">
        <v>2</v>
      </c>
      <c r="H89" s="43">
        <v>4</v>
      </c>
      <c r="I89" s="43">
        <v>1</v>
      </c>
      <c r="J89" s="43">
        <v>2</v>
      </c>
      <c r="K89" s="43">
        <v>3</v>
      </c>
      <c r="L89" s="57"/>
      <c r="M89" s="43">
        <v>3</v>
      </c>
      <c r="N89" s="43">
        <v>6</v>
      </c>
    </row>
    <row r="90" spans="1:14" x14ac:dyDescent="0.25">
      <c r="A90" s="43" t="s">
        <v>92</v>
      </c>
      <c r="B90" s="56">
        <v>3</v>
      </c>
      <c r="C90" s="43" t="s">
        <v>19</v>
      </c>
      <c r="D90" s="58">
        <v>38</v>
      </c>
      <c r="E90" s="43">
        <v>15</v>
      </c>
      <c r="F90" s="43">
        <v>24</v>
      </c>
      <c r="G90" s="43">
        <v>10</v>
      </c>
      <c r="H90" s="43">
        <v>0</v>
      </c>
      <c r="I90" s="43">
        <v>0</v>
      </c>
      <c r="J90" s="43">
        <v>2</v>
      </c>
      <c r="K90" s="63">
        <v>7</v>
      </c>
      <c r="L90" s="57"/>
      <c r="M90" s="43">
        <v>0</v>
      </c>
      <c r="N90" s="43">
        <v>4</v>
      </c>
    </row>
    <row r="91" spans="1:14" x14ac:dyDescent="0.25">
      <c r="A91" s="43" t="s">
        <v>95</v>
      </c>
      <c r="B91" s="56">
        <v>4</v>
      </c>
      <c r="C91" s="43" t="s">
        <v>96</v>
      </c>
      <c r="D91" s="62">
        <v>189</v>
      </c>
      <c r="E91" s="63">
        <v>175</v>
      </c>
      <c r="F91" s="43">
        <v>119</v>
      </c>
      <c r="G91" s="43">
        <v>337</v>
      </c>
      <c r="H91" s="43">
        <v>571</v>
      </c>
      <c r="I91" s="43">
        <v>51</v>
      </c>
      <c r="J91" s="43">
        <v>19</v>
      </c>
      <c r="K91" s="43">
        <v>45</v>
      </c>
      <c r="L91" s="57"/>
      <c r="M91" s="43">
        <v>38</v>
      </c>
      <c r="N91" s="43">
        <v>17</v>
      </c>
    </row>
    <row r="92" spans="1:14" x14ac:dyDescent="0.25">
      <c r="A92" s="43" t="s">
        <v>99</v>
      </c>
      <c r="B92" s="56">
        <v>5</v>
      </c>
      <c r="C92" s="43" t="s">
        <v>96</v>
      </c>
      <c r="D92" s="62">
        <v>29</v>
      </c>
      <c r="E92" s="63">
        <v>12</v>
      </c>
      <c r="F92" s="43">
        <v>74</v>
      </c>
      <c r="G92" s="43">
        <v>12</v>
      </c>
      <c r="H92" s="63">
        <v>17</v>
      </c>
      <c r="I92" s="63">
        <v>14</v>
      </c>
      <c r="J92" s="43">
        <v>38</v>
      </c>
      <c r="K92" s="43">
        <v>22</v>
      </c>
      <c r="L92" s="57"/>
      <c r="M92" s="43">
        <v>11</v>
      </c>
      <c r="N92" s="43">
        <v>34</v>
      </c>
    </row>
    <row r="93" spans="1:14" x14ac:dyDescent="0.25">
      <c r="A93" s="43" t="s">
        <v>102</v>
      </c>
      <c r="B93" s="56">
        <v>6</v>
      </c>
      <c r="C93" s="43" t="s">
        <v>96</v>
      </c>
      <c r="D93" s="62">
        <v>16</v>
      </c>
      <c r="E93" s="63">
        <v>25</v>
      </c>
      <c r="F93" s="43">
        <v>34</v>
      </c>
      <c r="G93" s="43">
        <v>17</v>
      </c>
      <c r="H93" s="43">
        <v>14</v>
      </c>
      <c r="I93" s="63">
        <v>22</v>
      </c>
      <c r="J93" s="43">
        <v>4</v>
      </c>
      <c r="K93" s="43">
        <v>17</v>
      </c>
      <c r="L93" s="57"/>
      <c r="M93" s="43">
        <v>11</v>
      </c>
      <c r="N93" s="43">
        <v>9</v>
      </c>
    </row>
    <row r="94" spans="1:14" x14ac:dyDescent="0.25">
      <c r="A94" s="43" t="s">
        <v>104</v>
      </c>
      <c r="B94" s="56">
        <v>7</v>
      </c>
      <c r="C94" s="43" t="s">
        <v>96</v>
      </c>
      <c r="D94" s="58">
        <v>77</v>
      </c>
      <c r="E94" s="43">
        <v>13</v>
      </c>
      <c r="F94" s="43">
        <v>4</v>
      </c>
      <c r="G94" s="43">
        <v>5</v>
      </c>
      <c r="H94" s="43">
        <v>6</v>
      </c>
      <c r="I94" s="43">
        <v>10</v>
      </c>
      <c r="J94" s="43">
        <v>2</v>
      </c>
      <c r="K94" s="63">
        <v>4</v>
      </c>
      <c r="L94" s="57"/>
      <c r="M94" s="43">
        <v>17</v>
      </c>
      <c r="N94" s="43">
        <v>22</v>
      </c>
    </row>
    <row r="95" spans="1:14" x14ac:dyDescent="0.25">
      <c r="A95" s="43" t="s">
        <v>107</v>
      </c>
      <c r="B95" s="56">
        <v>8</v>
      </c>
      <c r="C95" s="43" t="s">
        <v>19</v>
      </c>
      <c r="D95" s="58">
        <v>6</v>
      </c>
      <c r="E95" s="43">
        <v>9</v>
      </c>
      <c r="F95" s="43">
        <v>8</v>
      </c>
      <c r="G95" s="63">
        <v>7</v>
      </c>
      <c r="H95" s="63">
        <v>10</v>
      </c>
      <c r="I95" s="63">
        <v>6</v>
      </c>
      <c r="J95" s="43">
        <v>9</v>
      </c>
      <c r="K95" s="43">
        <v>11</v>
      </c>
      <c r="L95" s="57"/>
      <c r="M95" s="43">
        <v>20</v>
      </c>
      <c r="N95" s="43">
        <v>4</v>
      </c>
    </row>
    <row r="96" spans="1:14" x14ac:dyDescent="0.25">
      <c r="A96" s="43" t="s">
        <v>110</v>
      </c>
      <c r="B96" s="56">
        <v>9</v>
      </c>
      <c r="C96" s="43" t="s">
        <v>19</v>
      </c>
      <c r="D96" s="62">
        <v>1</v>
      </c>
      <c r="E96" s="43">
        <v>31</v>
      </c>
      <c r="F96" s="43">
        <v>15</v>
      </c>
      <c r="G96" s="43">
        <v>31</v>
      </c>
      <c r="H96" s="63">
        <v>12</v>
      </c>
      <c r="I96" s="43">
        <v>1</v>
      </c>
      <c r="J96" s="43">
        <v>9</v>
      </c>
      <c r="K96" s="63">
        <v>6</v>
      </c>
      <c r="L96" s="57"/>
      <c r="M96" s="43">
        <v>2</v>
      </c>
      <c r="N96" s="43">
        <v>11</v>
      </c>
    </row>
    <row r="97" spans="1:14" x14ac:dyDescent="0.25">
      <c r="A97" s="43" t="s">
        <v>113</v>
      </c>
      <c r="B97" s="56">
        <v>10</v>
      </c>
      <c r="C97" s="43" t="s">
        <v>12</v>
      </c>
      <c r="D97" s="58">
        <v>19</v>
      </c>
      <c r="E97" s="43">
        <v>13</v>
      </c>
      <c r="F97" s="43">
        <v>6</v>
      </c>
      <c r="G97" s="63">
        <v>2</v>
      </c>
      <c r="H97" s="63">
        <v>4</v>
      </c>
      <c r="I97" s="43">
        <v>2</v>
      </c>
      <c r="J97" s="43">
        <v>8</v>
      </c>
      <c r="K97" s="67">
        <v>2</v>
      </c>
      <c r="L97" s="57"/>
      <c r="M97" s="43">
        <v>27</v>
      </c>
      <c r="N97" s="43">
        <v>5</v>
      </c>
    </row>
    <row r="98" spans="1:14" x14ac:dyDescent="0.25">
      <c r="A98" s="43" t="s">
        <v>114</v>
      </c>
      <c r="B98" s="56">
        <v>11</v>
      </c>
      <c r="C98" s="43" t="s">
        <v>96</v>
      </c>
      <c r="D98" s="62">
        <v>18</v>
      </c>
      <c r="E98" s="65">
        <v>30</v>
      </c>
      <c r="F98" s="43">
        <v>5</v>
      </c>
      <c r="G98" s="43">
        <v>4</v>
      </c>
      <c r="H98" s="43">
        <v>5</v>
      </c>
      <c r="I98" s="43">
        <v>13</v>
      </c>
      <c r="J98" s="43">
        <v>4</v>
      </c>
      <c r="K98" s="43">
        <v>7</v>
      </c>
      <c r="L98" s="57"/>
      <c r="M98" s="43">
        <v>22</v>
      </c>
      <c r="N98" s="43">
        <v>10</v>
      </c>
    </row>
    <row r="99" spans="1:14" x14ac:dyDescent="0.25">
      <c r="A99" s="43" t="s">
        <v>115</v>
      </c>
      <c r="B99" s="56">
        <v>12</v>
      </c>
      <c r="C99" s="43" t="s">
        <v>96</v>
      </c>
      <c r="D99" s="58">
        <v>16</v>
      </c>
      <c r="E99" s="43">
        <v>23</v>
      </c>
      <c r="F99" s="43">
        <v>9</v>
      </c>
      <c r="G99" s="43">
        <v>11</v>
      </c>
      <c r="H99" s="43">
        <v>12</v>
      </c>
      <c r="I99" s="43">
        <v>18</v>
      </c>
      <c r="J99" s="43">
        <v>10</v>
      </c>
      <c r="K99" s="43">
        <v>21</v>
      </c>
      <c r="L99" s="57"/>
      <c r="M99" s="43">
        <v>3</v>
      </c>
      <c r="N99" s="43">
        <v>46</v>
      </c>
    </row>
    <row r="100" spans="1:14" x14ac:dyDescent="0.25">
      <c r="A100" s="43" t="s">
        <v>116</v>
      </c>
      <c r="B100" s="56">
        <v>13</v>
      </c>
      <c r="C100" s="43" t="s">
        <v>96</v>
      </c>
      <c r="D100" s="58">
        <v>44</v>
      </c>
      <c r="E100" s="43">
        <v>33</v>
      </c>
      <c r="F100" s="63">
        <v>18</v>
      </c>
      <c r="G100" s="63">
        <v>14</v>
      </c>
      <c r="H100" s="63">
        <v>21</v>
      </c>
      <c r="I100" s="63">
        <v>8</v>
      </c>
      <c r="J100" s="43">
        <v>16</v>
      </c>
      <c r="K100" s="67">
        <v>5</v>
      </c>
      <c r="L100" s="57"/>
      <c r="M100" s="43">
        <v>20</v>
      </c>
      <c r="N100" s="43">
        <v>8</v>
      </c>
    </row>
    <row r="101" spans="1:14" x14ac:dyDescent="0.25">
      <c r="A101" s="43" t="s">
        <v>117</v>
      </c>
      <c r="B101" s="56">
        <v>14</v>
      </c>
      <c r="C101" s="43" t="s">
        <v>96</v>
      </c>
      <c r="D101" s="58">
        <v>39</v>
      </c>
      <c r="E101" s="43">
        <v>30</v>
      </c>
      <c r="F101" s="63">
        <v>17</v>
      </c>
      <c r="G101" s="63">
        <v>35</v>
      </c>
      <c r="H101" s="63">
        <v>33</v>
      </c>
      <c r="I101" s="43">
        <v>25</v>
      </c>
      <c r="J101" s="43">
        <v>65</v>
      </c>
      <c r="K101" s="63">
        <v>24</v>
      </c>
      <c r="L101" s="57"/>
      <c r="M101" s="43">
        <v>26</v>
      </c>
      <c r="N101" s="43">
        <v>9</v>
      </c>
    </row>
    <row r="102" spans="1:14" x14ac:dyDescent="0.25">
      <c r="A102" s="43" t="s">
        <v>118</v>
      </c>
      <c r="B102" s="56">
        <v>15</v>
      </c>
      <c r="C102" s="43" t="s">
        <v>96</v>
      </c>
      <c r="D102" s="58">
        <v>41</v>
      </c>
      <c r="E102" s="43">
        <v>44</v>
      </c>
      <c r="F102" s="43">
        <v>21</v>
      </c>
      <c r="G102" s="43">
        <v>28</v>
      </c>
      <c r="H102" s="43">
        <v>12</v>
      </c>
      <c r="I102" s="43">
        <v>26</v>
      </c>
      <c r="J102" s="43">
        <v>14</v>
      </c>
      <c r="K102" s="63">
        <v>7</v>
      </c>
      <c r="L102" s="57"/>
      <c r="M102" s="43">
        <v>6</v>
      </c>
      <c r="N102" s="43">
        <v>7</v>
      </c>
    </row>
    <row r="103" spans="1:14" x14ac:dyDescent="0.25">
      <c r="A103" s="43" t="s">
        <v>119</v>
      </c>
      <c r="B103" s="56">
        <v>16</v>
      </c>
      <c r="C103" s="43" t="s">
        <v>96</v>
      </c>
      <c r="D103" s="58">
        <v>30</v>
      </c>
      <c r="E103" s="43">
        <v>10</v>
      </c>
      <c r="F103" s="43">
        <v>11</v>
      </c>
      <c r="G103" s="43">
        <v>17</v>
      </c>
      <c r="H103" s="43">
        <v>2</v>
      </c>
      <c r="I103" s="43">
        <v>4</v>
      </c>
      <c r="J103" s="43">
        <v>6</v>
      </c>
      <c r="K103" s="43">
        <v>4</v>
      </c>
      <c r="L103" s="57"/>
      <c r="M103" s="43">
        <v>6</v>
      </c>
      <c r="N103" s="4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DA046-66EB-42A9-8D3B-E401E02E5D42}">
  <dimension ref="A2:AX49"/>
  <sheetViews>
    <sheetView topLeftCell="A13" workbookViewId="0">
      <selection activeCell="D35" sqref="D35:M36"/>
    </sheetView>
  </sheetViews>
  <sheetFormatPr defaultRowHeight="15" x14ac:dyDescent="0.25"/>
  <cols>
    <col min="4" max="13" width="9.85546875" bestFit="1" customWidth="1"/>
    <col min="14" max="14" width="13" bestFit="1" customWidth="1"/>
    <col min="15" max="15" width="9" bestFit="1" customWidth="1"/>
    <col min="16" max="16" width="18.7109375" bestFit="1" customWidth="1"/>
    <col min="21" max="30" width="9.85546875" bestFit="1" customWidth="1"/>
    <col min="31" max="31" width="13" bestFit="1" customWidth="1"/>
    <col min="32" max="32" width="9" bestFit="1" customWidth="1"/>
    <col min="33" max="33" width="18.7109375" bestFit="1" customWidth="1"/>
    <col min="38" max="47" width="9.85546875" bestFit="1" customWidth="1"/>
    <col min="48" max="48" width="13" bestFit="1" customWidth="1"/>
    <col min="49" max="49" width="9" bestFit="1" customWidth="1"/>
    <col min="50" max="50" width="18.7109375" bestFit="1" customWidth="1"/>
  </cols>
  <sheetData>
    <row r="2" spans="1:31" x14ac:dyDescent="0.25">
      <c r="A2" t="s">
        <v>9</v>
      </c>
      <c r="R2" t="s">
        <v>9</v>
      </c>
    </row>
    <row r="3" spans="1:31" x14ac:dyDescent="0.25">
      <c r="A3" t="s">
        <v>88</v>
      </c>
      <c r="B3" t="s">
        <v>17</v>
      </c>
      <c r="R3" t="s">
        <v>88</v>
      </c>
      <c r="S3" t="s">
        <v>17</v>
      </c>
    </row>
    <row r="4" spans="1:31" x14ac:dyDescent="0.25">
      <c r="A4" t="s">
        <v>90</v>
      </c>
      <c r="B4" t="s">
        <v>91</v>
      </c>
      <c r="R4" t="s">
        <v>90</v>
      </c>
      <c r="S4" t="s">
        <v>91</v>
      </c>
    </row>
    <row r="5" spans="1:31" x14ac:dyDescent="0.25">
      <c r="A5" t="s">
        <v>93</v>
      </c>
      <c r="B5" t="s">
        <v>94</v>
      </c>
      <c r="R5" t="s">
        <v>93</v>
      </c>
      <c r="S5" t="s">
        <v>94</v>
      </c>
    </row>
    <row r="6" spans="1:31" x14ac:dyDescent="0.25">
      <c r="A6" t="s">
        <v>97</v>
      </c>
      <c r="B6" t="s">
        <v>98</v>
      </c>
      <c r="R6" t="s">
        <v>97</v>
      </c>
      <c r="S6" t="s">
        <v>98</v>
      </c>
    </row>
    <row r="7" spans="1:31" x14ac:dyDescent="0.25">
      <c r="A7" t="s">
        <v>100</v>
      </c>
      <c r="B7" t="s">
        <v>101</v>
      </c>
      <c r="R7" t="s">
        <v>100</v>
      </c>
      <c r="S7" t="s">
        <v>101</v>
      </c>
    </row>
    <row r="8" spans="1:31" x14ac:dyDescent="0.25">
      <c r="A8" t="s">
        <v>103</v>
      </c>
      <c r="B8" t="s">
        <v>17</v>
      </c>
      <c r="R8" t="s">
        <v>103</v>
      </c>
      <c r="S8" t="s">
        <v>17</v>
      </c>
    </row>
    <row r="9" spans="1:31" x14ac:dyDescent="0.25">
      <c r="A9" t="s">
        <v>105</v>
      </c>
      <c r="B9" t="s">
        <v>106</v>
      </c>
      <c r="R9" t="s">
        <v>105</v>
      </c>
      <c r="S9" t="s">
        <v>106</v>
      </c>
    </row>
    <row r="10" spans="1:31" x14ac:dyDescent="0.25">
      <c r="A10" t="s">
        <v>108</v>
      </c>
      <c r="B10" t="s">
        <v>109</v>
      </c>
      <c r="R10" t="s">
        <v>108</v>
      </c>
      <c r="S10" t="s">
        <v>109</v>
      </c>
    </row>
    <row r="11" spans="1:31" x14ac:dyDescent="0.25">
      <c r="A11" t="s">
        <v>111</v>
      </c>
      <c r="B11" t="s">
        <v>112</v>
      </c>
      <c r="R11" t="s">
        <v>111</v>
      </c>
      <c r="S11" t="s">
        <v>112</v>
      </c>
    </row>
    <row r="13" spans="1:31" x14ac:dyDescent="0.25">
      <c r="A13" s="47" t="s">
        <v>243</v>
      </c>
      <c r="R13" s="47" t="s">
        <v>243</v>
      </c>
    </row>
    <row r="14" spans="1:31" x14ac:dyDescent="0.25">
      <c r="A14" s="64" t="s">
        <v>244</v>
      </c>
      <c r="R14" s="64" t="s">
        <v>244</v>
      </c>
      <c r="AD14" t="s">
        <v>247</v>
      </c>
      <c r="AE14">
        <f>AVERAGE(AE23,AE30)</f>
        <v>67.166666666666657</v>
      </c>
    </row>
    <row r="15" spans="1:31" x14ac:dyDescent="0.25">
      <c r="A15" s="66" t="s">
        <v>245</v>
      </c>
      <c r="R15" s="66" t="s">
        <v>245</v>
      </c>
      <c r="AD15">
        <v>1</v>
      </c>
      <c r="AE15">
        <f>AVERAGE(AE22,AE24:AE28,AE36)</f>
        <v>142.63333333333333</v>
      </c>
    </row>
    <row r="16" spans="1:31" x14ac:dyDescent="0.25">
      <c r="A16" s="68" t="s">
        <v>246</v>
      </c>
      <c r="R16" s="68" t="s">
        <v>246</v>
      </c>
      <c r="AD16">
        <v>30</v>
      </c>
      <c r="AE16">
        <f>AVERAGE(AE21,AE29,AE31:AE35)</f>
        <v>83.516666666666666</v>
      </c>
    </row>
    <row r="19" spans="1:50" x14ac:dyDescent="0.25">
      <c r="A19" s="7" t="s">
        <v>218</v>
      </c>
      <c r="B19" s="7"/>
      <c r="C19" s="7"/>
      <c r="D19" s="14" t="s">
        <v>204</v>
      </c>
      <c r="E19" s="14" t="s">
        <v>205</v>
      </c>
      <c r="F19" s="14" t="s">
        <v>206</v>
      </c>
      <c r="G19" s="14" t="s">
        <v>207</v>
      </c>
      <c r="H19" s="14" t="s">
        <v>208</v>
      </c>
      <c r="I19" s="14" t="s">
        <v>210</v>
      </c>
      <c r="J19" s="14" t="s">
        <v>211</v>
      </c>
      <c r="K19" s="14" t="s">
        <v>212</v>
      </c>
      <c r="L19" s="14" t="s">
        <v>213</v>
      </c>
      <c r="M19" s="14" t="s">
        <v>214</v>
      </c>
      <c r="R19" s="7" t="s">
        <v>219</v>
      </c>
      <c r="S19" s="7"/>
      <c r="T19" s="7"/>
      <c r="U19" s="14" t="s">
        <v>204</v>
      </c>
      <c r="V19" s="14" t="s">
        <v>205</v>
      </c>
      <c r="W19" s="14" t="s">
        <v>206</v>
      </c>
      <c r="X19" s="14" t="s">
        <v>207</v>
      </c>
      <c r="Y19" s="14" t="s">
        <v>208</v>
      </c>
      <c r="Z19" s="14" t="s">
        <v>210</v>
      </c>
      <c r="AA19" s="14" t="s">
        <v>211</v>
      </c>
      <c r="AB19" s="14" t="s">
        <v>212</v>
      </c>
      <c r="AC19" s="14" t="s">
        <v>213</v>
      </c>
      <c r="AD19" s="14" t="s">
        <v>214</v>
      </c>
      <c r="AI19" s="7" t="s">
        <v>220</v>
      </c>
      <c r="AJ19" s="7"/>
      <c r="AK19" s="7"/>
      <c r="AL19" s="14" t="s">
        <v>204</v>
      </c>
      <c r="AM19" s="14" t="s">
        <v>205</v>
      </c>
      <c r="AN19" s="14" t="s">
        <v>206</v>
      </c>
      <c r="AO19" s="14" t="s">
        <v>207</v>
      </c>
      <c r="AP19" s="14" t="s">
        <v>208</v>
      </c>
      <c r="AQ19" s="14" t="s">
        <v>210</v>
      </c>
      <c r="AR19" s="14" t="s">
        <v>211</v>
      </c>
      <c r="AS19" s="14" t="s">
        <v>212</v>
      </c>
      <c r="AT19" s="14" t="s">
        <v>213</v>
      </c>
      <c r="AU19" s="14" t="s">
        <v>214</v>
      </c>
    </row>
    <row r="20" spans="1:50" x14ac:dyDescent="0.25">
      <c r="A20" s="7" t="s">
        <v>215</v>
      </c>
      <c r="B20" s="7" t="s">
        <v>216</v>
      </c>
      <c r="C20" s="7" t="s">
        <v>8</v>
      </c>
      <c r="D20" s="8">
        <v>44389</v>
      </c>
      <c r="E20" s="8">
        <v>44390</v>
      </c>
      <c r="F20" s="8">
        <v>44391</v>
      </c>
      <c r="G20" s="8">
        <v>44392</v>
      </c>
      <c r="H20" s="8">
        <v>44393</v>
      </c>
      <c r="I20" s="8">
        <v>44394</v>
      </c>
      <c r="J20" s="8">
        <v>44395</v>
      </c>
      <c r="K20" s="8">
        <v>44396</v>
      </c>
      <c r="L20" s="8">
        <v>44398</v>
      </c>
      <c r="M20" s="8">
        <v>44399</v>
      </c>
      <c r="N20" s="37" t="s">
        <v>221</v>
      </c>
      <c r="O20" s="37" t="s">
        <v>222</v>
      </c>
      <c r="P20" s="16" t="s">
        <v>223</v>
      </c>
      <c r="R20" s="7" t="s">
        <v>215</v>
      </c>
      <c r="S20" s="7" t="s">
        <v>216</v>
      </c>
      <c r="T20" s="7" t="s">
        <v>8</v>
      </c>
      <c r="U20" s="8">
        <v>44389</v>
      </c>
      <c r="V20" s="8">
        <v>44390</v>
      </c>
      <c r="W20" s="8">
        <v>44391</v>
      </c>
      <c r="X20" s="8">
        <v>44392</v>
      </c>
      <c r="Y20" s="8">
        <v>44393</v>
      </c>
      <c r="Z20" s="8">
        <v>44394</v>
      </c>
      <c r="AA20" s="8">
        <v>44395</v>
      </c>
      <c r="AB20" s="8">
        <v>44396</v>
      </c>
      <c r="AC20" s="8">
        <v>44398</v>
      </c>
      <c r="AD20" s="8">
        <v>44399</v>
      </c>
      <c r="AE20" s="37" t="s">
        <v>221</v>
      </c>
      <c r="AF20" s="37" t="s">
        <v>222</v>
      </c>
      <c r="AG20" s="16" t="s">
        <v>223</v>
      </c>
      <c r="AI20" s="7" t="s">
        <v>215</v>
      </c>
      <c r="AJ20" s="7" t="s">
        <v>216</v>
      </c>
      <c r="AK20" s="7" t="s">
        <v>8</v>
      </c>
      <c r="AL20" s="8">
        <v>44389</v>
      </c>
      <c r="AM20" s="8">
        <v>44390</v>
      </c>
      <c r="AN20" s="8">
        <v>44391</v>
      </c>
      <c r="AO20" s="8">
        <v>44392</v>
      </c>
      <c r="AP20" s="8">
        <v>44393</v>
      </c>
      <c r="AQ20" s="8">
        <v>44394</v>
      </c>
      <c r="AR20" s="8">
        <v>44395</v>
      </c>
      <c r="AS20" s="8">
        <v>44396</v>
      </c>
      <c r="AT20" s="8">
        <v>44398</v>
      </c>
      <c r="AU20" s="8">
        <v>44399</v>
      </c>
      <c r="AV20" s="37" t="s">
        <v>221</v>
      </c>
      <c r="AW20" s="37" t="s">
        <v>222</v>
      </c>
      <c r="AX20" s="16" t="s">
        <v>223</v>
      </c>
    </row>
    <row r="21" spans="1:50" x14ac:dyDescent="0.25">
      <c r="A21" s="43" t="s">
        <v>114</v>
      </c>
      <c r="B21" s="56">
        <v>11</v>
      </c>
      <c r="C21" s="43" t="s">
        <v>96</v>
      </c>
      <c r="D21" s="62">
        <v>8</v>
      </c>
      <c r="E21" s="65">
        <v>19</v>
      </c>
      <c r="F21" s="43">
        <v>13</v>
      </c>
      <c r="G21" s="43">
        <v>15</v>
      </c>
      <c r="H21" s="43">
        <v>27</v>
      </c>
      <c r="I21" s="43">
        <v>38</v>
      </c>
      <c r="J21" s="43">
        <v>30</v>
      </c>
      <c r="K21" s="43">
        <v>46</v>
      </c>
      <c r="L21" s="43">
        <v>47</v>
      </c>
      <c r="M21" s="43">
        <v>32</v>
      </c>
      <c r="N21">
        <f>AVERAGE(K21:M21)</f>
        <v>41.666666666666664</v>
      </c>
      <c r="O21">
        <f>AVERAGE(D21:M21)</f>
        <v>27.5</v>
      </c>
      <c r="P21" s="16">
        <v>1</v>
      </c>
      <c r="R21" s="43" t="s">
        <v>114</v>
      </c>
      <c r="S21" s="56">
        <v>11</v>
      </c>
      <c r="T21" s="43" t="s">
        <v>96</v>
      </c>
      <c r="U21" s="62">
        <v>13</v>
      </c>
      <c r="V21" s="65">
        <v>29</v>
      </c>
      <c r="W21" s="43">
        <v>18</v>
      </c>
      <c r="X21" s="43">
        <v>17</v>
      </c>
      <c r="Y21" s="43">
        <v>48</v>
      </c>
      <c r="Z21" s="43">
        <v>102</v>
      </c>
      <c r="AA21" s="43">
        <v>77</v>
      </c>
      <c r="AB21" s="43">
        <v>82</v>
      </c>
      <c r="AC21" s="43">
        <v>85</v>
      </c>
      <c r="AD21" s="43">
        <v>51</v>
      </c>
      <c r="AE21">
        <f>AVERAGE(AB21:AD21)</f>
        <v>72.666666666666671</v>
      </c>
      <c r="AF21">
        <f>AVERAGE(U21:AD21)</f>
        <v>52.2</v>
      </c>
      <c r="AG21" s="16">
        <v>1</v>
      </c>
      <c r="AI21" s="43" t="s">
        <v>114</v>
      </c>
      <c r="AJ21" s="56">
        <v>11</v>
      </c>
      <c r="AK21" s="43" t="s">
        <v>96</v>
      </c>
      <c r="AL21" s="62">
        <v>18</v>
      </c>
      <c r="AM21" s="65">
        <v>30</v>
      </c>
      <c r="AN21" s="43">
        <v>5</v>
      </c>
      <c r="AO21" s="43">
        <v>4</v>
      </c>
      <c r="AP21" s="43">
        <v>5</v>
      </c>
      <c r="AQ21" s="43">
        <v>13</v>
      </c>
      <c r="AR21" s="43">
        <v>4</v>
      </c>
      <c r="AS21" s="43">
        <v>7</v>
      </c>
      <c r="AT21" s="43">
        <v>22</v>
      </c>
      <c r="AU21" s="43">
        <v>10</v>
      </c>
      <c r="AV21">
        <f>AVERAGE(AS21:AU21)</f>
        <v>13</v>
      </c>
      <c r="AW21">
        <f>AVERAGE(AL21:AU21)</f>
        <v>11.8</v>
      </c>
      <c r="AX21" s="16">
        <v>1</v>
      </c>
    </row>
    <row r="22" spans="1:50" x14ac:dyDescent="0.25">
      <c r="A22" s="43" t="s">
        <v>115</v>
      </c>
      <c r="B22" s="56">
        <v>12</v>
      </c>
      <c r="C22" s="43" t="s">
        <v>96</v>
      </c>
      <c r="D22" s="58">
        <v>18</v>
      </c>
      <c r="E22" s="43">
        <v>21</v>
      </c>
      <c r="F22" s="43">
        <v>18</v>
      </c>
      <c r="G22" s="43">
        <v>15</v>
      </c>
      <c r="H22" s="43">
        <v>19</v>
      </c>
      <c r="I22" s="43">
        <v>15</v>
      </c>
      <c r="J22" s="43">
        <v>10</v>
      </c>
      <c r="K22" s="43">
        <v>16</v>
      </c>
      <c r="L22" s="43">
        <v>14</v>
      </c>
      <c r="M22" s="43">
        <v>21</v>
      </c>
      <c r="N22">
        <f>AVERAGE(K22:M22)</f>
        <v>17</v>
      </c>
      <c r="O22">
        <f>AVERAGE(D22:M22)</f>
        <v>16.7</v>
      </c>
      <c r="P22" s="16">
        <v>1</v>
      </c>
      <c r="R22" s="43" t="s">
        <v>115</v>
      </c>
      <c r="S22" s="56">
        <v>12</v>
      </c>
      <c r="T22" s="43" t="s">
        <v>96</v>
      </c>
      <c r="U22" s="58">
        <v>30</v>
      </c>
      <c r="V22" s="43">
        <v>23</v>
      </c>
      <c r="W22" s="43">
        <v>24</v>
      </c>
      <c r="X22" s="43">
        <v>24</v>
      </c>
      <c r="Y22" s="43">
        <v>37</v>
      </c>
      <c r="Z22" s="43">
        <v>22</v>
      </c>
      <c r="AA22" s="43">
        <v>16</v>
      </c>
      <c r="AB22" s="43">
        <v>26</v>
      </c>
      <c r="AC22" s="43">
        <v>18</v>
      </c>
      <c r="AD22" s="43">
        <v>48</v>
      </c>
      <c r="AE22">
        <f>AVERAGE(AB22:AD22)</f>
        <v>30.666666666666668</v>
      </c>
      <c r="AF22">
        <f>AVERAGE(U22:AD22)</f>
        <v>26.8</v>
      </c>
      <c r="AG22" s="16">
        <v>1</v>
      </c>
      <c r="AI22" s="43" t="s">
        <v>115</v>
      </c>
      <c r="AJ22" s="56">
        <v>12</v>
      </c>
      <c r="AK22" s="43" t="s">
        <v>96</v>
      </c>
      <c r="AL22" s="58">
        <v>16</v>
      </c>
      <c r="AM22" s="43">
        <v>23</v>
      </c>
      <c r="AN22" s="43">
        <v>9</v>
      </c>
      <c r="AO22" s="43">
        <v>11</v>
      </c>
      <c r="AP22" s="43">
        <v>12</v>
      </c>
      <c r="AQ22" s="43">
        <v>18</v>
      </c>
      <c r="AR22" s="43">
        <v>10</v>
      </c>
      <c r="AS22" s="43">
        <v>21</v>
      </c>
      <c r="AT22" s="43">
        <v>3</v>
      </c>
      <c r="AU22" s="43">
        <v>46</v>
      </c>
      <c r="AV22">
        <f>AVERAGE(AS22:AU22)</f>
        <v>23.333333333333332</v>
      </c>
      <c r="AW22">
        <f>AVERAGE(AL22:AU22)</f>
        <v>16.899999999999999</v>
      </c>
      <c r="AX22" s="16">
        <v>1</v>
      </c>
    </row>
    <row r="23" spans="1:50" x14ac:dyDescent="0.25">
      <c r="A23" s="43" t="s">
        <v>118</v>
      </c>
      <c r="B23" s="56">
        <v>15</v>
      </c>
      <c r="C23" s="43" t="s">
        <v>96</v>
      </c>
      <c r="D23" s="58">
        <v>38</v>
      </c>
      <c r="E23" s="43">
        <v>25</v>
      </c>
      <c r="F23" s="43">
        <v>27</v>
      </c>
      <c r="G23" s="43">
        <v>30</v>
      </c>
      <c r="H23" s="43">
        <v>22</v>
      </c>
      <c r="I23" s="43">
        <v>22</v>
      </c>
      <c r="J23" s="43">
        <v>20</v>
      </c>
      <c r="K23" s="63">
        <v>30</v>
      </c>
      <c r="L23" s="43">
        <v>35</v>
      </c>
      <c r="M23" s="43">
        <v>25</v>
      </c>
      <c r="N23">
        <f>AVERAGE(K23:M23)</f>
        <v>30</v>
      </c>
      <c r="O23">
        <f>AVERAGE(D23:M23)</f>
        <v>27.4</v>
      </c>
      <c r="P23" s="16">
        <v>1</v>
      </c>
      <c r="R23" s="43" t="s">
        <v>118</v>
      </c>
      <c r="S23" s="56">
        <v>15</v>
      </c>
      <c r="T23" s="43" t="s">
        <v>96</v>
      </c>
      <c r="U23" s="58">
        <v>108</v>
      </c>
      <c r="V23" s="43">
        <v>63</v>
      </c>
      <c r="W23" s="43">
        <v>53</v>
      </c>
      <c r="X23" s="43">
        <v>52</v>
      </c>
      <c r="Y23" s="43">
        <v>42</v>
      </c>
      <c r="Z23" s="43">
        <v>39</v>
      </c>
      <c r="AA23" s="43">
        <v>38</v>
      </c>
      <c r="AB23" s="63">
        <v>57</v>
      </c>
      <c r="AC23" s="43">
        <v>50</v>
      </c>
      <c r="AD23" s="43">
        <v>61</v>
      </c>
      <c r="AE23">
        <f>AVERAGE(AB23:AD23)</f>
        <v>56</v>
      </c>
      <c r="AF23">
        <f>AVERAGE(U23:AD23)</f>
        <v>56.3</v>
      </c>
      <c r="AG23" s="16">
        <v>1</v>
      </c>
      <c r="AI23" s="43" t="s">
        <v>118</v>
      </c>
      <c r="AJ23" s="56">
        <v>15</v>
      </c>
      <c r="AK23" s="43" t="s">
        <v>96</v>
      </c>
      <c r="AL23" s="58">
        <v>41</v>
      </c>
      <c r="AM23" s="43">
        <v>44</v>
      </c>
      <c r="AN23" s="43">
        <v>21</v>
      </c>
      <c r="AO23" s="43">
        <v>28</v>
      </c>
      <c r="AP23" s="43">
        <v>12</v>
      </c>
      <c r="AQ23" s="43">
        <v>26</v>
      </c>
      <c r="AR23" s="43">
        <v>14</v>
      </c>
      <c r="AS23" s="63">
        <v>7</v>
      </c>
      <c r="AT23" s="43">
        <v>6</v>
      </c>
      <c r="AU23" s="43">
        <v>7</v>
      </c>
      <c r="AV23">
        <f>AVERAGE(AS23:AU23)</f>
        <v>6.666666666666667</v>
      </c>
      <c r="AW23">
        <f>AVERAGE(AL23:AU23)</f>
        <v>20.6</v>
      </c>
      <c r="AX23" s="16">
        <v>1</v>
      </c>
    </row>
    <row r="24" spans="1:50" x14ac:dyDescent="0.25">
      <c r="A24" s="43" t="s">
        <v>119</v>
      </c>
      <c r="B24" s="56">
        <v>16</v>
      </c>
      <c r="C24" s="43" t="s">
        <v>96</v>
      </c>
      <c r="D24" s="58">
        <v>53</v>
      </c>
      <c r="E24" s="43">
        <v>75</v>
      </c>
      <c r="F24" s="43">
        <v>75</v>
      </c>
      <c r="G24" s="43">
        <v>75</v>
      </c>
      <c r="H24" s="43">
        <v>75</v>
      </c>
      <c r="I24" s="43">
        <v>75</v>
      </c>
      <c r="J24" s="43">
        <v>75</v>
      </c>
      <c r="K24" s="43">
        <v>75</v>
      </c>
      <c r="L24" s="43">
        <v>75</v>
      </c>
      <c r="M24" s="43">
        <v>75</v>
      </c>
      <c r="N24">
        <f>AVERAGE(K24:M24)</f>
        <v>75</v>
      </c>
      <c r="O24">
        <f>AVERAGE(D24:M24)</f>
        <v>72.8</v>
      </c>
      <c r="P24" s="16">
        <v>1</v>
      </c>
      <c r="R24" s="43" t="s">
        <v>119</v>
      </c>
      <c r="S24" s="56">
        <v>16</v>
      </c>
      <c r="T24" s="43" t="s">
        <v>96</v>
      </c>
      <c r="U24" s="58">
        <v>141</v>
      </c>
      <c r="V24" s="43">
        <v>243</v>
      </c>
      <c r="W24" s="43">
        <v>222</v>
      </c>
      <c r="X24" s="43">
        <v>237</v>
      </c>
      <c r="Y24" s="43">
        <v>243</v>
      </c>
      <c r="Z24" s="43">
        <v>287</v>
      </c>
      <c r="AA24" s="43">
        <v>380</v>
      </c>
      <c r="AB24" s="43">
        <v>302</v>
      </c>
      <c r="AC24" s="43">
        <v>288</v>
      </c>
      <c r="AD24" s="43">
        <v>338</v>
      </c>
      <c r="AE24">
        <f>AVERAGE(AB24:AD24)</f>
        <v>309.33333333333331</v>
      </c>
      <c r="AF24">
        <f>AVERAGE(U24:AD24)</f>
        <v>268.10000000000002</v>
      </c>
      <c r="AG24" s="16">
        <v>1</v>
      </c>
      <c r="AI24" s="43" t="s">
        <v>119</v>
      </c>
      <c r="AJ24" s="56">
        <v>16</v>
      </c>
      <c r="AK24" s="43" t="s">
        <v>96</v>
      </c>
      <c r="AL24" s="58">
        <v>30</v>
      </c>
      <c r="AM24" s="43">
        <v>10</v>
      </c>
      <c r="AN24" s="43">
        <v>11</v>
      </c>
      <c r="AO24" s="43">
        <v>17</v>
      </c>
      <c r="AP24" s="43">
        <v>2</v>
      </c>
      <c r="AQ24" s="43">
        <v>4</v>
      </c>
      <c r="AR24" s="43">
        <v>6</v>
      </c>
      <c r="AS24" s="43">
        <v>4</v>
      </c>
      <c r="AT24" s="43">
        <v>6</v>
      </c>
      <c r="AU24" s="43">
        <v>0</v>
      </c>
      <c r="AV24">
        <f>AVERAGE(AS24:AU24)</f>
        <v>3.3333333333333335</v>
      </c>
      <c r="AW24">
        <f>AVERAGE(AL24:AU24)</f>
        <v>9</v>
      </c>
      <c r="AX24" s="16">
        <v>1</v>
      </c>
    </row>
    <row r="25" spans="1:50" x14ac:dyDescent="0.25">
      <c r="M25" s="37" t="s">
        <v>224</v>
      </c>
      <c r="N25">
        <f>AVERAGE(N21:N24)</f>
        <v>40.916666666666664</v>
      </c>
      <c r="O25">
        <f>AVERAGE(O21:O24)</f>
        <v>36.099999999999994</v>
      </c>
      <c r="AD25" s="37" t="s">
        <v>224</v>
      </c>
      <c r="AE25">
        <f>AVERAGE(AE21:AE24)</f>
        <v>117.16666666666666</v>
      </c>
      <c r="AF25">
        <f>AVERAGE(AF21:AF24)</f>
        <v>100.85000000000001</v>
      </c>
      <c r="AU25" s="37" t="s">
        <v>224</v>
      </c>
      <c r="AV25">
        <f>AVERAGE(AV21:AV24)</f>
        <v>11.583333333333332</v>
      </c>
      <c r="AW25">
        <f>AVERAGE(AW21:AW24)</f>
        <v>14.574999999999999</v>
      </c>
    </row>
    <row r="28" spans="1:50" x14ac:dyDescent="0.25">
      <c r="A28" s="43" t="s">
        <v>95</v>
      </c>
      <c r="B28" s="56">
        <v>4</v>
      </c>
      <c r="C28" s="43" t="s">
        <v>96</v>
      </c>
      <c r="D28" s="62">
        <v>67</v>
      </c>
      <c r="E28" s="63">
        <v>75</v>
      </c>
      <c r="F28" s="43">
        <v>75</v>
      </c>
      <c r="G28" s="43">
        <v>75</v>
      </c>
      <c r="H28" s="43">
        <v>75</v>
      </c>
      <c r="I28" s="43">
        <v>46</v>
      </c>
      <c r="J28" s="43">
        <v>66</v>
      </c>
      <c r="K28" s="43">
        <v>39</v>
      </c>
      <c r="L28" s="43">
        <v>71</v>
      </c>
      <c r="M28" s="43">
        <v>48</v>
      </c>
      <c r="N28">
        <f>AVERAGE(K28:M28)</f>
        <v>52.666666666666664</v>
      </c>
      <c r="O28">
        <f>AVERAGE(D28:M28)</f>
        <v>63.7</v>
      </c>
      <c r="P28" s="16">
        <v>30</v>
      </c>
      <c r="R28" s="43" t="s">
        <v>95</v>
      </c>
      <c r="S28" s="56">
        <v>4</v>
      </c>
      <c r="T28" s="43" t="s">
        <v>96</v>
      </c>
      <c r="U28" s="62">
        <v>283</v>
      </c>
      <c r="V28" s="63">
        <v>427</v>
      </c>
      <c r="W28" s="43">
        <v>451</v>
      </c>
      <c r="X28" s="43">
        <v>584</v>
      </c>
      <c r="Y28" s="43">
        <v>413</v>
      </c>
      <c r="Z28" s="43">
        <v>142</v>
      </c>
      <c r="AA28" s="43">
        <v>282</v>
      </c>
      <c r="AB28" s="43">
        <v>93</v>
      </c>
      <c r="AC28" s="43">
        <v>381</v>
      </c>
      <c r="AD28" s="43">
        <v>155</v>
      </c>
      <c r="AE28">
        <f>AVERAGE(AB28:AD28)</f>
        <v>209.66666666666666</v>
      </c>
      <c r="AF28">
        <f>AVERAGE(U28:AD28)</f>
        <v>321.10000000000002</v>
      </c>
      <c r="AG28" s="16">
        <v>30</v>
      </c>
      <c r="AI28" s="43" t="s">
        <v>95</v>
      </c>
      <c r="AJ28" s="56">
        <v>4</v>
      </c>
      <c r="AK28" s="43" t="s">
        <v>96</v>
      </c>
      <c r="AL28" s="62">
        <v>189</v>
      </c>
      <c r="AM28" s="63">
        <v>175</v>
      </c>
      <c r="AN28" s="43">
        <v>119</v>
      </c>
      <c r="AO28" s="43">
        <v>337</v>
      </c>
      <c r="AP28" s="43">
        <v>571</v>
      </c>
      <c r="AQ28" s="43">
        <v>51</v>
      </c>
      <c r="AR28" s="43">
        <v>19</v>
      </c>
      <c r="AS28" s="43">
        <v>45</v>
      </c>
      <c r="AT28" s="43">
        <v>38</v>
      </c>
      <c r="AU28" s="43">
        <v>17</v>
      </c>
      <c r="AV28">
        <f>AVERAGE(AS28:AU28)</f>
        <v>33.333333333333336</v>
      </c>
      <c r="AW28">
        <f>AVERAGE(AL28:AU28)</f>
        <v>156.1</v>
      </c>
      <c r="AX28" s="16">
        <v>30</v>
      </c>
    </row>
    <row r="29" spans="1:50" x14ac:dyDescent="0.25">
      <c r="A29" s="43" t="s">
        <v>99</v>
      </c>
      <c r="B29" s="56">
        <v>5</v>
      </c>
      <c r="C29" s="43" t="s">
        <v>96</v>
      </c>
      <c r="D29" s="62">
        <v>14</v>
      </c>
      <c r="E29" s="63">
        <v>24</v>
      </c>
      <c r="F29" s="43">
        <v>28</v>
      </c>
      <c r="G29" s="43">
        <v>21</v>
      </c>
      <c r="H29" s="63">
        <v>25</v>
      </c>
      <c r="I29" s="63">
        <v>22</v>
      </c>
      <c r="J29" s="43">
        <v>17</v>
      </c>
      <c r="K29" s="43">
        <v>20</v>
      </c>
      <c r="L29" s="63">
        <v>17</v>
      </c>
      <c r="M29" s="43">
        <v>16</v>
      </c>
      <c r="N29">
        <f>AVERAGE(K29:M29)</f>
        <v>17.666666666666668</v>
      </c>
      <c r="O29">
        <f>AVERAGE(D29:M29)</f>
        <v>20.399999999999999</v>
      </c>
      <c r="P29" s="16">
        <v>30</v>
      </c>
      <c r="R29" s="43" t="s">
        <v>99</v>
      </c>
      <c r="S29" s="56">
        <v>5</v>
      </c>
      <c r="T29" s="43" t="s">
        <v>96</v>
      </c>
      <c r="U29" s="62">
        <v>26</v>
      </c>
      <c r="V29" s="63">
        <v>52</v>
      </c>
      <c r="W29" s="43">
        <v>54</v>
      </c>
      <c r="X29" s="43">
        <v>35</v>
      </c>
      <c r="Y29" s="63">
        <v>40</v>
      </c>
      <c r="Z29" s="63">
        <v>42</v>
      </c>
      <c r="AA29" s="43">
        <v>32</v>
      </c>
      <c r="AB29" s="43">
        <v>38</v>
      </c>
      <c r="AC29" s="63">
        <v>27</v>
      </c>
      <c r="AD29" s="43">
        <v>25</v>
      </c>
      <c r="AE29">
        <f>AVERAGE(AB29:AD29)</f>
        <v>30</v>
      </c>
      <c r="AF29">
        <f>AVERAGE(U29:AD29)</f>
        <v>37.1</v>
      </c>
      <c r="AG29" s="16">
        <v>30</v>
      </c>
      <c r="AI29" s="43" t="s">
        <v>99</v>
      </c>
      <c r="AJ29" s="56">
        <v>5</v>
      </c>
      <c r="AK29" s="43" t="s">
        <v>96</v>
      </c>
      <c r="AL29" s="62">
        <v>29</v>
      </c>
      <c r="AM29" s="63">
        <v>12</v>
      </c>
      <c r="AN29" s="43">
        <v>74</v>
      </c>
      <c r="AO29" s="43">
        <v>12</v>
      </c>
      <c r="AP29" s="63">
        <v>17</v>
      </c>
      <c r="AQ29" s="63">
        <v>14</v>
      </c>
      <c r="AR29" s="43">
        <v>38</v>
      </c>
      <c r="AS29" s="43">
        <v>22</v>
      </c>
      <c r="AT29" s="43">
        <v>11</v>
      </c>
      <c r="AU29" s="43">
        <v>34</v>
      </c>
      <c r="AV29">
        <f>AVERAGE(AS29:AU29)</f>
        <v>22.333333333333332</v>
      </c>
      <c r="AW29">
        <f>AVERAGE(AL29:AU29)</f>
        <v>26.3</v>
      </c>
      <c r="AX29" s="16">
        <v>30</v>
      </c>
    </row>
    <row r="30" spans="1:50" x14ac:dyDescent="0.25">
      <c r="A30" s="43" t="s">
        <v>104</v>
      </c>
      <c r="B30" s="56">
        <v>7</v>
      </c>
      <c r="C30" s="43" t="s">
        <v>96</v>
      </c>
      <c r="D30" s="58">
        <v>29</v>
      </c>
      <c r="E30" s="43">
        <v>11</v>
      </c>
      <c r="F30" s="43">
        <v>27</v>
      </c>
      <c r="G30" s="43">
        <v>24</v>
      </c>
      <c r="H30" s="43">
        <v>28</v>
      </c>
      <c r="I30" s="43">
        <v>27</v>
      </c>
      <c r="J30" s="43">
        <v>52</v>
      </c>
      <c r="K30" s="63">
        <v>54</v>
      </c>
      <c r="L30" s="43">
        <v>69</v>
      </c>
      <c r="M30" s="43">
        <v>41</v>
      </c>
      <c r="N30">
        <f>AVERAGE(K30:M30)</f>
        <v>54.666666666666664</v>
      </c>
      <c r="O30">
        <f>AVERAGE(D30:M30)</f>
        <v>36.200000000000003</v>
      </c>
      <c r="P30" s="16">
        <v>30</v>
      </c>
      <c r="R30" s="43" t="s">
        <v>104</v>
      </c>
      <c r="S30" s="56">
        <v>7</v>
      </c>
      <c r="T30" s="43" t="s">
        <v>96</v>
      </c>
      <c r="U30" s="58">
        <v>41</v>
      </c>
      <c r="V30" s="43">
        <v>19</v>
      </c>
      <c r="W30" s="43">
        <v>33</v>
      </c>
      <c r="X30" s="43">
        <v>31</v>
      </c>
      <c r="Y30" s="43">
        <v>35</v>
      </c>
      <c r="Z30" s="43">
        <v>37</v>
      </c>
      <c r="AA30" s="43">
        <v>63</v>
      </c>
      <c r="AB30" s="63">
        <v>77</v>
      </c>
      <c r="AC30" s="43">
        <v>99</v>
      </c>
      <c r="AD30" s="43">
        <v>59</v>
      </c>
      <c r="AE30">
        <f>AVERAGE(AB30:AD30)</f>
        <v>78.333333333333329</v>
      </c>
      <c r="AF30">
        <f>AVERAGE(U30:AD30)</f>
        <v>49.4</v>
      </c>
      <c r="AG30" s="16">
        <v>30</v>
      </c>
      <c r="AI30" s="43" t="s">
        <v>104</v>
      </c>
      <c r="AJ30" s="56">
        <v>7</v>
      </c>
      <c r="AK30" s="43" t="s">
        <v>96</v>
      </c>
      <c r="AL30" s="58">
        <v>77</v>
      </c>
      <c r="AM30" s="43">
        <v>13</v>
      </c>
      <c r="AN30" s="43">
        <v>4</v>
      </c>
      <c r="AO30" s="43">
        <v>5</v>
      </c>
      <c r="AP30" s="43">
        <v>6</v>
      </c>
      <c r="AQ30" s="43">
        <v>10</v>
      </c>
      <c r="AR30" s="43">
        <v>2</v>
      </c>
      <c r="AS30" s="63">
        <v>4</v>
      </c>
      <c r="AT30" s="43">
        <v>17</v>
      </c>
      <c r="AU30" s="43">
        <v>22</v>
      </c>
      <c r="AV30">
        <f>AVERAGE(AS30:AU30)</f>
        <v>14.333333333333334</v>
      </c>
      <c r="AW30">
        <f>AVERAGE(AL30:AU30)</f>
        <v>16</v>
      </c>
      <c r="AX30" s="16">
        <v>30</v>
      </c>
    </row>
    <row r="31" spans="1:50" x14ac:dyDescent="0.25">
      <c r="A31" s="43" t="s">
        <v>116</v>
      </c>
      <c r="B31" s="56">
        <v>13</v>
      </c>
      <c r="C31" s="43" t="s">
        <v>96</v>
      </c>
      <c r="D31" s="58">
        <v>32</v>
      </c>
      <c r="E31" s="43">
        <v>36</v>
      </c>
      <c r="F31" s="63">
        <v>41</v>
      </c>
      <c r="G31" s="63">
        <v>42</v>
      </c>
      <c r="H31" s="63">
        <v>38</v>
      </c>
      <c r="I31" s="63">
        <v>35</v>
      </c>
      <c r="J31" s="43">
        <v>75</v>
      </c>
      <c r="K31" s="67">
        <v>55</v>
      </c>
      <c r="L31" s="43">
        <v>75</v>
      </c>
      <c r="M31" s="43">
        <v>51</v>
      </c>
      <c r="N31">
        <f>AVERAGE(K31:M31)</f>
        <v>60.333333333333336</v>
      </c>
      <c r="O31">
        <f>AVERAGE(D31:M31)</f>
        <v>48</v>
      </c>
      <c r="P31" s="16">
        <v>30</v>
      </c>
      <c r="R31" s="43" t="s">
        <v>116</v>
      </c>
      <c r="S31" s="56">
        <v>13</v>
      </c>
      <c r="T31" s="43" t="s">
        <v>96</v>
      </c>
      <c r="U31" s="58">
        <v>52</v>
      </c>
      <c r="V31" s="43">
        <v>52</v>
      </c>
      <c r="W31" s="63">
        <v>67</v>
      </c>
      <c r="X31" s="63">
        <v>76</v>
      </c>
      <c r="Y31" s="63">
        <v>63</v>
      </c>
      <c r="Z31" s="63">
        <v>74</v>
      </c>
      <c r="AA31" s="43">
        <v>145</v>
      </c>
      <c r="AB31" s="67">
        <v>100</v>
      </c>
      <c r="AC31" s="43">
        <v>145</v>
      </c>
      <c r="AD31" s="43">
        <v>84</v>
      </c>
      <c r="AE31">
        <f>AVERAGE(AB31:AD31)</f>
        <v>109.66666666666667</v>
      </c>
      <c r="AF31">
        <f>AVERAGE(U31:AD31)</f>
        <v>85.8</v>
      </c>
      <c r="AG31" s="16">
        <v>30</v>
      </c>
      <c r="AI31" s="43" t="s">
        <v>116</v>
      </c>
      <c r="AJ31" s="56">
        <v>13</v>
      </c>
      <c r="AK31" s="43" t="s">
        <v>96</v>
      </c>
      <c r="AL31" s="58">
        <v>44</v>
      </c>
      <c r="AM31" s="43">
        <v>33</v>
      </c>
      <c r="AN31" s="63">
        <v>18</v>
      </c>
      <c r="AO31" s="63">
        <v>14</v>
      </c>
      <c r="AP31" s="63">
        <v>21</v>
      </c>
      <c r="AQ31" s="63">
        <v>8</v>
      </c>
      <c r="AR31" s="43">
        <v>16</v>
      </c>
      <c r="AS31" s="67">
        <v>5</v>
      </c>
      <c r="AT31" s="43">
        <v>20</v>
      </c>
      <c r="AU31" s="43">
        <v>8</v>
      </c>
      <c r="AV31">
        <f>AVERAGE(AS31:AU31)</f>
        <v>11</v>
      </c>
      <c r="AW31">
        <f>AVERAGE(AL31:AU31)</f>
        <v>18.7</v>
      </c>
      <c r="AX31" s="16">
        <v>30</v>
      </c>
    </row>
    <row r="32" spans="1:50" x14ac:dyDescent="0.25">
      <c r="M32" s="37" t="s">
        <v>224</v>
      </c>
      <c r="N32">
        <f>AVERAGE(N28:N31)</f>
        <v>46.333333333333336</v>
      </c>
      <c r="O32">
        <f>AVERAGE(O28:O31)</f>
        <v>42.075000000000003</v>
      </c>
      <c r="AD32" s="37" t="s">
        <v>224</v>
      </c>
      <c r="AE32">
        <f>AVERAGE(AE28:AE31)</f>
        <v>106.91666666666667</v>
      </c>
      <c r="AF32">
        <f>AVERAGE(AF28:AF31)</f>
        <v>123.35000000000001</v>
      </c>
      <c r="AU32" s="37" t="s">
        <v>224</v>
      </c>
      <c r="AV32">
        <f>AVERAGE(AV28:AV31)</f>
        <v>20.25</v>
      </c>
      <c r="AW32">
        <f>AVERAGE(AW28:AW31)</f>
        <v>54.274999999999999</v>
      </c>
    </row>
    <row r="35" spans="1:50" x14ac:dyDescent="0.25">
      <c r="A35" s="43" t="s">
        <v>113</v>
      </c>
      <c r="B35" s="56">
        <v>10</v>
      </c>
      <c r="C35" s="43" t="s">
        <v>12</v>
      </c>
      <c r="D35" s="58">
        <v>20</v>
      </c>
      <c r="E35" s="43">
        <v>24</v>
      </c>
      <c r="F35" s="43">
        <v>30</v>
      </c>
      <c r="G35" s="63">
        <v>24</v>
      </c>
      <c r="H35" s="63">
        <v>29</v>
      </c>
      <c r="I35" s="43">
        <v>27</v>
      </c>
      <c r="J35" s="43">
        <v>35</v>
      </c>
      <c r="K35" s="67">
        <v>27</v>
      </c>
      <c r="L35" s="43">
        <v>40</v>
      </c>
      <c r="M35" s="43">
        <v>31</v>
      </c>
      <c r="N35">
        <f>AVERAGE(K35:M35)</f>
        <v>32.666666666666664</v>
      </c>
      <c r="O35">
        <f>AVERAGE(D35:M35)</f>
        <v>28.7</v>
      </c>
      <c r="P35" s="16" t="s">
        <v>225</v>
      </c>
      <c r="R35" s="43" t="s">
        <v>113</v>
      </c>
      <c r="S35" s="56">
        <v>10</v>
      </c>
      <c r="T35" s="43" t="s">
        <v>12</v>
      </c>
      <c r="U35" s="58">
        <v>34</v>
      </c>
      <c r="V35" s="43">
        <v>58</v>
      </c>
      <c r="W35" s="43">
        <v>46</v>
      </c>
      <c r="X35" s="63">
        <v>50</v>
      </c>
      <c r="Y35" s="63">
        <v>48</v>
      </c>
      <c r="Z35" s="43">
        <v>42</v>
      </c>
      <c r="AA35" s="43">
        <v>56</v>
      </c>
      <c r="AB35" s="67">
        <v>92</v>
      </c>
      <c r="AC35" s="43">
        <v>95</v>
      </c>
      <c r="AD35" s="43">
        <v>108</v>
      </c>
      <c r="AE35">
        <f>AVERAGE(AB35:AD35)</f>
        <v>98.333333333333329</v>
      </c>
      <c r="AF35">
        <f>AVERAGE(U35:AD35)</f>
        <v>62.9</v>
      </c>
      <c r="AG35" s="16" t="s">
        <v>225</v>
      </c>
      <c r="AI35" s="43" t="s">
        <v>113</v>
      </c>
      <c r="AJ35" s="56">
        <v>10</v>
      </c>
      <c r="AK35" s="43" t="s">
        <v>12</v>
      </c>
      <c r="AL35" s="58">
        <v>19</v>
      </c>
      <c r="AM35" s="43">
        <v>13</v>
      </c>
      <c r="AN35" s="43">
        <v>6</v>
      </c>
      <c r="AO35" s="63">
        <v>2</v>
      </c>
      <c r="AP35" s="63">
        <v>4</v>
      </c>
      <c r="AQ35" s="43">
        <v>2</v>
      </c>
      <c r="AR35" s="43">
        <v>8</v>
      </c>
      <c r="AS35" s="67">
        <v>2</v>
      </c>
      <c r="AT35" s="43">
        <v>27</v>
      </c>
      <c r="AU35" s="43">
        <v>5</v>
      </c>
      <c r="AV35">
        <f>AVERAGE(AS35:AU35)</f>
        <v>11.333333333333334</v>
      </c>
      <c r="AW35">
        <f>AVERAGE(AL35:AU35)</f>
        <v>8.8000000000000007</v>
      </c>
      <c r="AX35" s="16" t="s">
        <v>225</v>
      </c>
    </row>
    <row r="36" spans="1:50" x14ac:dyDescent="0.25">
      <c r="A36" s="43" t="s">
        <v>117</v>
      </c>
      <c r="B36" s="56">
        <v>14</v>
      </c>
      <c r="C36" s="43" t="s">
        <v>96</v>
      </c>
      <c r="D36" s="58">
        <v>37</v>
      </c>
      <c r="E36" s="43">
        <v>19</v>
      </c>
      <c r="F36" s="63">
        <v>22</v>
      </c>
      <c r="G36" s="63">
        <v>25</v>
      </c>
      <c r="H36" s="63">
        <v>15</v>
      </c>
      <c r="I36" s="43">
        <v>26</v>
      </c>
      <c r="J36" s="43">
        <v>26</v>
      </c>
      <c r="K36" s="63">
        <v>29</v>
      </c>
      <c r="L36" s="43">
        <v>26</v>
      </c>
      <c r="M36" s="43">
        <v>17</v>
      </c>
      <c r="N36">
        <f>AVERAGE(K36:M36)</f>
        <v>24</v>
      </c>
      <c r="O36">
        <f>AVERAGE(D36:M36)</f>
        <v>24.2</v>
      </c>
      <c r="P36" s="16" t="s">
        <v>225</v>
      </c>
      <c r="R36" s="43" t="s">
        <v>117</v>
      </c>
      <c r="S36" s="56">
        <v>14</v>
      </c>
      <c r="T36" s="43" t="s">
        <v>96</v>
      </c>
      <c r="U36" s="58">
        <v>69</v>
      </c>
      <c r="V36" s="43">
        <v>47</v>
      </c>
      <c r="W36" s="63">
        <v>69</v>
      </c>
      <c r="X36" s="63">
        <v>36</v>
      </c>
      <c r="Y36" s="63">
        <v>28</v>
      </c>
      <c r="Z36" s="43">
        <v>43</v>
      </c>
      <c r="AA36" s="43">
        <v>51</v>
      </c>
      <c r="AB36" s="63">
        <v>49</v>
      </c>
      <c r="AC36" s="43">
        <v>50</v>
      </c>
      <c r="AD36" s="43">
        <v>40</v>
      </c>
      <c r="AE36">
        <f>AVERAGE(AB36:AD36)</f>
        <v>46.333333333333336</v>
      </c>
      <c r="AF36">
        <f>AVERAGE(U36:AD36)</f>
        <v>48.2</v>
      </c>
      <c r="AG36" s="16" t="s">
        <v>225</v>
      </c>
      <c r="AI36" s="43" t="s">
        <v>117</v>
      </c>
      <c r="AJ36" s="56">
        <v>14</v>
      </c>
      <c r="AK36" s="43" t="s">
        <v>96</v>
      </c>
      <c r="AL36" s="58">
        <v>39</v>
      </c>
      <c r="AM36" s="43">
        <v>30</v>
      </c>
      <c r="AN36" s="63">
        <v>17</v>
      </c>
      <c r="AO36" s="63">
        <v>35</v>
      </c>
      <c r="AP36" s="63">
        <v>33</v>
      </c>
      <c r="AQ36" s="43">
        <v>25</v>
      </c>
      <c r="AR36" s="43">
        <v>65</v>
      </c>
      <c r="AS36" s="63">
        <v>24</v>
      </c>
      <c r="AT36" s="43">
        <v>26</v>
      </c>
      <c r="AU36" s="43">
        <v>9</v>
      </c>
      <c r="AV36">
        <f>AVERAGE(AS36:AU36)</f>
        <v>19.666666666666668</v>
      </c>
      <c r="AW36">
        <f>AVERAGE(AL36:AU36)</f>
        <v>30.3</v>
      </c>
      <c r="AX36" s="16" t="s">
        <v>225</v>
      </c>
    </row>
    <row r="37" spans="1:50" x14ac:dyDescent="0.25">
      <c r="M37" s="37" t="s">
        <v>224</v>
      </c>
      <c r="N37">
        <f>AVERAGE(N35:N36)</f>
        <v>28.333333333333332</v>
      </c>
      <c r="O37">
        <f>AVERAGE(O35:O36)</f>
        <v>26.45</v>
      </c>
      <c r="AD37" s="37" t="s">
        <v>224</v>
      </c>
      <c r="AE37">
        <f>AVERAGE(AE35:AE36)</f>
        <v>72.333333333333329</v>
      </c>
      <c r="AF37">
        <f>AVERAGE(AF35:AF36)</f>
        <v>55.55</v>
      </c>
      <c r="AU37" s="37" t="s">
        <v>224</v>
      </c>
      <c r="AV37">
        <f>AVERAGE(AV35:AV36)</f>
        <v>15.5</v>
      </c>
      <c r="AW37">
        <f>AVERAGE(AW35:AW36)</f>
        <v>19.55</v>
      </c>
    </row>
    <row r="40" spans="1:50" x14ac:dyDescent="0.25">
      <c r="A40" s="7" t="s">
        <v>215</v>
      </c>
      <c r="B40" s="7" t="s">
        <v>216</v>
      </c>
      <c r="C40" s="7" t="s">
        <v>8</v>
      </c>
      <c r="D40" s="8">
        <v>44389</v>
      </c>
      <c r="E40" s="8">
        <v>44390</v>
      </c>
      <c r="F40" s="8">
        <v>44391</v>
      </c>
      <c r="G40" s="8">
        <v>44392</v>
      </c>
      <c r="H40" s="8">
        <v>44393</v>
      </c>
      <c r="I40" s="8">
        <v>44394</v>
      </c>
      <c r="J40" s="8">
        <v>44395</v>
      </c>
      <c r="K40" s="8">
        <v>44396</v>
      </c>
      <c r="L40" s="8">
        <v>44398</v>
      </c>
      <c r="M40" s="8">
        <v>44399</v>
      </c>
      <c r="N40" s="37" t="s">
        <v>221</v>
      </c>
      <c r="O40" s="37" t="s">
        <v>222</v>
      </c>
      <c r="P40" t="s">
        <v>223</v>
      </c>
      <c r="R40" s="7" t="s">
        <v>215</v>
      </c>
      <c r="S40" s="7" t="s">
        <v>216</v>
      </c>
      <c r="T40" s="7" t="s">
        <v>8</v>
      </c>
      <c r="U40" s="8">
        <v>44389</v>
      </c>
      <c r="V40" s="8">
        <v>44390</v>
      </c>
      <c r="W40" s="8">
        <v>44391</v>
      </c>
      <c r="X40" s="8">
        <v>44392</v>
      </c>
      <c r="Y40" s="8">
        <v>44393</v>
      </c>
      <c r="Z40" s="8">
        <v>44394</v>
      </c>
      <c r="AA40" s="8">
        <v>44395</v>
      </c>
      <c r="AB40" s="8">
        <v>44396</v>
      </c>
      <c r="AC40" s="8">
        <v>44398</v>
      </c>
      <c r="AD40" s="8">
        <v>44399</v>
      </c>
      <c r="AE40" s="37" t="s">
        <v>221</v>
      </c>
      <c r="AF40" s="37" t="s">
        <v>222</v>
      </c>
      <c r="AG40" t="s">
        <v>223</v>
      </c>
      <c r="AI40" s="7" t="s">
        <v>215</v>
      </c>
      <c r="AJ40" s="7" t="s">
        <v>216</v>
      </c>
      <c r="AK40" s="7" t="s">
        <v>8</v>
      </c>
      <c r="AL40" s="8">
        <v>44389</v>
      </c>
      <c r="AM40" s="8">
        <v>44390</v>
      </c>
      <c r="AN40" s="8">
        <v>44391</v>
      </c>
      <c r="AO40" s="8">
        <v>44392</v>
      </c>
      <c r="AP40" s="8">
        <v>44393</v>
      </c>
      <c r="AQ40" s="8">
        <v>44394</v>
      </c>
      <c r="AR40" s="8">
        <v>44395</v>
      </c>
      <c r="AS40" s="8">
        <v>44396</v>
      </c>
      <c r="AT40" s="8">
        <v>44398</v>
      </c>
      <c r="AU40" s="8">
        <v>44399</v>
      </c>
      <c r="AV40" s="37" t="s">
        <v>221</v>
      </c>
      <c r="AW40" s="37" t="s">
        <v>222</v>
      </c>
      <c r="AX40" t="s">
        <v>223</v>
      </c>
    </row>
    <row r="41" spans="1:50" x14ac:dyDescent="0.25">
      <c r="A41" s="43" t="s">
        <v>86</v>
      </c>
      <c r="B41" s="56">
        <v>1</v>
      </c>
      <c r="C41" s="43" t="s">
        <v>19</v>
      </c>
      <c r="D41" s="58">
        <v>28</v>
      </c>
      <c r="E41" s="43">
        <v>38</v>
      </c>
      <c r="F41" s="43">
        <v>34</v>
      </c>
      <c r="G41" s="43">
        <v>52</v>
      </c>
      <c r="H41" s="43">
        <v>33</v>
      </c>
      <c r="I41" s="43">
        <v>18</v>
      </c>
      <c r="J41" s="43">
        <v>24</v>
      </c>
      <c r="K41" s="43">
        <v>34</v>
      </c>
      <c r="L41" s="43">
        <v>29</v>
      </c>
      <c r="M41" s="43">
        <v>23</v>
      </c>
      <c r="N41">
        <f>AVERAGE(K41:M41)</f>
        <v>28.666666666666668</v>
      </c>
      <c r="O41">
        <f>AVERAGE(D41:M41)</f>
        <v>31.3</v>
      </c>
      <c r="P41" t="s">
        <v>248</v>
      </c>
      <c r="R41" s="43" t="s">
        <v>86</v>
      </c>
      <c r="S41" s="56">
        <v>1</v>
      </c>
      <c r="T41" s="43" t="s">
        <v>19</v>
      </c>
      <c r="U41" s="58">
        <v>45</v>
      </c>
      <c r="V41" s="43">
        <v>53</v>
      </c>
      <c r="W41" s="43">
        <v>47</v>
      </c>
      <c r="X41" s="43">
        <v>74</v>
      </c>
      <c r="Y41" s="43">
        <v>51</v>
      </c>
      <c r="Z41" s="43">
        <v>24</v>
      </c>
      <c r="AA41" s="43">
        <v>34</v>
      </c>
      <c r="AB41" s="43">
        <v>44</v>
      </c>
      <c r="AC41" s="43">
        <v>40</v>
      </c>
      <c r="AD41" s="43">
        <v>30</v>
      </c>
      <c r="AE41">
        <f>AVERAGE(AB41:AD41)</f>
        <v>38</v>
      </c>
      <c r="AF41">
        <f>AVERAGE(U41:AD41)</f>
        <v>44.2</v>
      </c>
      <c r="AG41" t="s">
        <v>248</v>
      </c>
      <c r="AI41" s="43" t="s">
        <v>86</v>
      </c>
      <c r="AJ41" s="56">
        <v>1</v>
      </c>
      <c r="AK41" s="43" t="s">
        <v>19</v>
      </c>
      <c r="AL41" s="58">
        <v>38</v>
      </c>
      <c r="AM41" s="43">
        <v>40</v>
      </c>
      <c r="AN41" s="43">
        <v>37</v>
      </c>
      <c r="AO41" s="43">
        <v>17</v>
      </c>
      <c r="AP41" s="43">
        <v>19</v>
      </c>
      <c r="AQ41" s="43">
        <v>8</v>
      </c>
      <c r="AR41" s="43">
        <v>4</v>
      </c>
      <c r="AS41" s="43">
        <v>3</v>
      </c>
      <c r="AT41" s="43">
        <v>4</v>
      </c>
      <c r="AU41" s="43">
        <v>9</v>
      </c>
      <c r="AV41">
        <f>AVERAGE(AS41:AU41)</f>
        <v>5.333333333333333</v>
      </c>
      <c r="AW41">
        <f>AVERAGE(AL41:AU41)</f>
        <v>17.899999999999999</v>
      </c>
      <c r="AX41" t="s">
        <v>248</v>
      </c>
    </row>
    <row r="42" spans="1:50" x14ac:dyDescent="0.25">
      <c r="A42" s="43" t="s">
        <v>89</v>
      </c>
      <c r="B42" s="56">
        <v>2</v>
      </c>
      <c r="C42" s="43" t="s">
        <v>19</v>
      </c>
      <c r="D42" s="58">
        <v>6</v>
      </c>
      <c r="E42" s="43">
        <v>7</v>
      </c>
      <c r="F42" s="43">
        <v>8</v>
      </c>
      <c r="G42" s="43">
        <v>6</v>
      </c>
      <c r="H42" s="43">
        <v>9</v>
      </c>
      <c r="I42" s="43">
        <v>3</v>
      </c>
      <c r="J42" s="43">
        <v>7</v>
      </c>
      <c r="K42" s="43">
        <v>6</v>
      </c>
      <c r="L42" s="43">
        <v>12</v>
      </c>
      <c r="M42" s="43">
        <v>4</v>
      </c>
      <c r="N42">
        <f>AVERAGE(K42:M42)</f>
        <v>7.333333333333333</v>
      </c>
      <c r="O42">
        <f>AVERAGE(D42:M42)</f>
        <v>6.8</v>
      </c>
      <c r="P42" t="s">
        <v>248</v>
      </c>
      <c r="R42" s="43" t="s">
        <v>89</v>
      </c>
      <c r="S42" s="56">
        <v>2</v>
      </c>
      <c r="T42" s="43" t="s">
        <v>19</v>
      </c>
      <c r="U42" s="58">
        <v>11</v>
      </c>
      <c r="V42" s="43">
        <v>13</v>
      </c>
      <c r="W42" s="43">
        <v>10</v>
      </c>
      <c r="X42" s="43">
        <v>6</v>
      </c>
      <c r="Y42" s="43">
        <v>10</v>
      </c>
      <c r="Z42" s="43">
        <v>5</v>
      </c>
      <c r="AA42" s="43">
        <v>9</v>
      </c>
      <c r="AB42" s="43">
        <v>6</v>
      </c>
      <c r="AC42" s="43">
        <v>15</v>
      </c>
      <c r="AD42" s="43">
        <v>4</v>
      </c>
      <c r="AE42">
        <f>AVERAGE(AB42:AD42)</f>
        <v>8.3333333333333339</v>
      </c>
      <c r="AF42">
        <f>AVERAGE(U42:AD42)</f>
        <v>8.9</v>
      </c>
      <c r="AG42" t="s">
        <v>248</v>
      </c>
      <c r="AI42" s="43" t="s">
        <v>89</v>
      </c>
      <c r="AJ42" s="56">
        <v>2</v>
      </c>
      <c r="AK42" s="43" t="s">
        <v>19</v>
      </c>
      <c r="AL42" s="58">
        <v>0</v>
      </c>
      <c r="AM42" s="43">
        <v>2</v>
      </c>
      <c r="AN42" s="43">
        <v>1</v>
      </c>
      <c r="AO42" s="43">
        <v>2</v>
      </c>
      <c r="AP42" s="43">
        <v>4</v>
      </c>
      <c r="AQ42" s="43">
        <v>1</v>
      </c>
      <c r="AR42" s="43">
        <v>2</v>
      </c>
      <c r="AS42" s="43">
        <v>3</v>
      </c>
      <c r="AT42" s="43">
        <v>3</v>
      </c>
      <c r="AU42" s="43">
        <v>6</v>
      </c>
      <c r="AV42">
        <f>AVERAGE(AS42:AU42)</f>
        <v>4</v>
      </c>
      <c r="AW42">
        <f>AVERAGE(AL42:AU42)</f>
        <v>2.4</v>
      </c>
      <c r="AX42" t="s">
        <v>248</v>
      </c>
    </row>
    <row r="43" spans="1:50" x14ac:dyDescent="0.25">
      <c r="A43" s="43" t="s">
        <v>92</v>
      </c>
      <c r="B43" s="56">
        <v>3</v>
      </c>
      <c r="C43" s="43" t="s">
        <v>19</v>
      </c>
      <c r="D43" s="58">
        <v>59</v>
      </c>
      <c r="E43" s="43">
        <v>24</v>
      </c>
      <c r="F43" s="43">
        <v>24</v>
      </c>
      <c r="G43" s="43">
        <v>12</v>
      </c>
      <c r="H43" s="43">
        <v>11</v>
      </c>
      <c r="I43" s="43">
        <v>13</v>
      </c>
      <c r="J43" s="43">
        <v>18</v>
      </c>
      <c r="K43" s="63">
        <v>16</v>
      </c>
      <c r="L43" s="69">
        <v>33</v>
      </c>
      <c r="M43" s="43">
        <v>35</v>
      </c>
      <c r="N43">
        <f>AVERAGE(K43:M43)</f>
        <v>28</v>
      </c>
      <c r="O43">
        <f>AVERAGE(D43:M43)</f>
        <v>24.5</v>
      </c>
      <c r="P43" t="s">
        <v>248</v>
      </c>
      <c r="R43" s="43" t="s">
        <v>92</v>
      </c>
      <c r="S43" s="56">
        <v>3</v>
      </c>
      <c r="T43" s="43" t="s">
        <v>19</v>
      </c>
      <c r="U43" s="58">
        <v>107</v>
      </c>
      <c r="V43" s="43">
        <v>34</v>
      </c>
      <c r="W43" s="43">
        <v>33</v>
      </c>
      <c r="X43" s="43">
        <v>18</v>
      </c>
      <c r="Y43" s="43">
        <v>17</v>
      </c>
      <c r="Z43" s="43">
        <v>17</v>
      </c>
      <c r="AA43" s="43">
        <v>25</v>
      </c>
      <c r="AB43" s="63">
        <v>20</v>
      </c>
      <c r="AC43" s="69">
        <v>51</v>
      </c>
      <c r="AD43" s="43">
        <v>51</v>
      </c>
      <c r="AE43">
        <f>AVERAGE(AB43:AD43)</f>
        <v>40.666666666666664</v>
      </c>
      <c r="AF43">
        <f>AVERAGE(U43:AD43)</f>
        <v>37.299999999999997</v>
      </c>
      <c r="AG43" t="s">
        <v>248</v>
      </c>
      <c r="AI43" s="43" t="s">
        <v>92</v>
      </c>
      <c r="AJ43" s="56">
        <v>3</v>
      </c>
      <c r="AK43" s="43" t="s">
        <v>19</v>
      </c>
      <c r="AL43" s="58">
        <v>38</v>
      </c>
      <c r="AM43" s="43">
        <v>15</v>
      </c>
      <c r="AN43" s="43">
        <v>24</v>
      </c>
      <c r="AO43" s="43">
        <v>10</v>
      </c>
      <c r="AP43" s="43">
        <v>0</v>
      </c>
      <c r="AQ43" s="43">
        <v>0</v>
      </c>
      <c r="AR43" s="43">
        <v>2</v>
      </c>
      <c r="AS43" s="63">
        <v>7</v>
      </c>
      <c r="AT43" s="43">
        <v>0</v>
      </c>
      <c r="AU43" s="43">
        <v>4</v>
      </c>
      <c r="AV43">
        <f>AVERAGE(AS43:AU43)</f>
        <v>3.6666666666666665</v>
      </c>
      <c r="AW43">
        <f>AVERAGE(AL43:AU43)</f>
        <v>10</v>
      </c>
      <c r="AX43" t="s">
        <v>248</v>
      </c>
    </row>
    <row r="44" spans="1:50" x14ac:dyDescent="0.25">
      <c r="A44" s="43" t="s">
        <v>107</v>
      </c>
      <c r="B44" s="56">
        <v>8</v>
      </c>
      <c r="C44" s="43" t="s">
        <v>19</v>
      </c>
      <c r="D44" s="58">
        <v>8</v>
      </c>
      <c r="E44" s="43">
        <v>6</v>
      </c>
      <c r="F44" s="43">
        <v>9</v>
      </c>
      <c r="G44" s="63">
        <v>9</v>
      </c>
      <c r="H44" s="63">
        <v>6</v>
      </c>
      <c r="I44" s="63">
        <v>5</v>
      </c>
      <c r="J44" s="43">
        <v>4</v>
      </c>
      <c r="K44" s="43">
        <v>6</v>
      </c>
      <c r="L44" s="43">
        <v>8</v>
      </c>
      <c r="M44" s="43">
        <v>9</v>
      </c>
      <c r="N44">
        <f>AVERAGE(K44:M44)</f>
        <v>7.666666666666667</v>
      </c>
      <c r="O44">
        <f>AVERAGE(D44:M44)</f>
        <v>7</v>
      </c>
      <c r="P44" t="s">
        <v>248</v>
      </c>
      <c r="R44" s="43" t="s">
        <v>107</v>
      </c>
      <c r="S44" s="56">
        <v>8</v>
      </c>
      <c r="T44" s="43" t="s">
        <v>19</v>
      </c>
      <c r="U44" s="58">
        <v>10</v>
      </c>
      <c r="V44" s="43">
        <v>7</v>
      </c>
      <c r="W44" s="43">
        <v>14</v>
      </c>
      <c r="X44" s="63">
        <v>17</v>
      </c>
      <c r="Y44" s="63">
        <v>6</v>
      </c>
      <c r="Z44" s="63">
        <v>8</v>
      </c>
      <c r="AA44" s="43">
        <v>5</v>
      </c>
      <c r="AB44" s="43">
        <v>9</v>
      </c>
      <c r="AC44" s="43">
        <v>9</v>
      </c>
      <c r="AD44" s="43">
        <v>12</v>
      </c>
      <c r="AE44">
        <f>AVERAGE(AB44:AD44)</f>
        <v>10</v>
      </c>
      <c r="AF44">
        <f>AVERAGE(U44:AD44)</f>
        <v>9.6999999999999993</v>
      </c>
      <c r="AG44" t="s">
        <v>248</v>
      </c>
      <c r="AI44" s="43" t="s">
        <v>107</v>
      </c>
      <c r="AJ44" s="56">
        <v>8</v>
      </c>
      <c r="AK44" s="43" t="s">
        <v>19</v>
      </c>
      <c r="AL44" s="58">
        <v>6</v>
      </c>
      <c r="AM44" s="43">
        <v>9</v>
      </c>
      <c r="AN44" s="43">
        <v>8</v>
      </c>
      <c r="AO44" s="63">
        <v>7</v>
      </c>
      <c r="AP44" s="63">
        <v>10</v>
      </c>
      <c r="AQ44" s="63">
        <v>6</v>
      </c>
      <c r="AR44" s="43">
        <v>9</v>
      </c>
      <c r="AS44" s="43">
        <v>11</v>
      </c>
      <c r="AT44" s="43">
        <v>20</v>
      </c>
      <c r="AU44" s="43">
        <v>4</v>
      </c>
      <c r="AV44">
        <f>AVERAGE(AS44:AU44)</f>
        <v>11.666666666666666</v>
      </c>
      <c r="AW44">
        <f>AVERAGE(AL44:AU44)</f>
        <v>9</v>
      </c>
      <c r="AX44" t="s">
        <v>248</v>
      </c>
    </row>
    <row r="45" spans="1:50" x14ac:dyDescent="0.25">
      <c r="A45" s="43" t="s">
        <v>110</v>
      </c>
      <c r="B45" s="56">
        <v>9</v>
      </c>
      <c r="C45" s="43" t="s">
        <v>19</v>
      </c>
      <c r="D45" s="62">
        <v>4</v>
      </c>
      <c r="E45" s="43">
        <v>39</v>
      </c>
      <c r="F45" s="43">
        <v>75</v>
      </c>
      <c r="G45" s="43">
        <v>60</v>
      </c>
      <c r="H45" s="63">
        <v>22</v>
      </c>
      <c r="I45" s="43">
        <v>14</v>
      </c>
      <c r="J45" s="43">
        <v>26</v>
      </c>
      <c r="K45" s="63">
        <v>21</v>
      </c>
      <c r="L45" s="43">
        <v>20</v>
      </c>
      <c r="M45" s="43">
        <v>15</v>
      </c>
      <c r="N45">
        <f>AVERAGE(K45:M45)</f>
        <v>18.666666666666668</v>
      </c>
      <c r="O45">
        <f>AVERAGE(D45:M45)</f>
        <v>29.6</v>
      </c>
      <c r="P45" t="s">
        <v>248</v>
      </c>
      <c r="R45" s="43" t="s">
        <v>110</v>
      </c>
      <c r="S45" s="56">
        <v>9</v>
      </c>
      <c r="T45" s="43" t="s">
        <v>19</v>
      </c>
      <c r="U45" s="62">
        <v>5</v>
      </c>
      <c r="V45" s="43">
        <v>54</v>
      </c>
      <c r="W45" s="43">
        <v>108</v>
      </c>
      <c r="X45" s="43">
        <v>78</v>
      </c>
      <c r="Y45" s="63">
        <v>25</v>
      </c>
      <c r="Z45" s="43">
        <v>17</v>
      </c>
      <c r="AA45" s="43">
        <v>35</v>
      </c>
      <c r="AB45" s="63">
        <v>26</v>
      </c>
      <c r="AC45" s="43">
        <v>23</v>
      </c>
      <c r="AD45" s="43">
        <v>24</v>
      </c>
      <c r="AE45">
        <f>AVERAGE(AB45:AD45)</f>
        <v>24.333333333333332</v>
      </c>
      <c r="AF45">
        <f>AVERAGE(U45:AD45)</f>
        <v>39.5</v>
      </c>
      <c r="AG45" t="s">
        <v>248</v>
      </c>
      <c r="AI45" s="43" t="s">
        <v>110</v>
      </c>
      <c r="AJ45" s="56">
        <v>9</v>
      </c>
      <c r="AK45" s="43" t="s">
        <v>19</v>
      </c>
      <c r="AL45" s="62">
        <v>1</v>
      </c>
      <c r="AM45" s="43">
        <v>31</v>
      </c>
      <c r="AN45" s="43">
        <v>15</v>
      </c>
      <c r="AO45" s="43">
        <v>31</v>
      </c>
      <c r="AP45" s="63">
        <v>12</v>
      </c>
      <c r="AQ45" s="43">
        <v>1</v>
      </c>
      <c r="AR45" s="43">
        <v>9</v>
      </c>
      <c r="AS45" s="63">
        <v>6</v>
      </c>
      <c r="AT45" s="43">
        <v>2</v>
      </c>
      <c r="AU45" s="43">
        <v>11</v>
      </c>
      <c r="AV45">
        <f>AVERAGE(AS45:AU45)</f>
        <v>6.333333333333333</v>
      </c>
      <c r="AW45">
        <f>AVERAGE(AL45:AU45)</f>
        <v>11.9</v>
      </c>
      <c r="AX45" t="s">
        <v>248</v>
      </c>
    </row>
    <row r="48" spans="1:50" x14ac:dyDescent="0.25">
      <c r="A48" t="s">
        <v>249</v>
      </c>
    </row>
    <row r="49" spans="1:49" x14ac:dyDescent="0.25">
      <c r="A49" s="43" t="s">
        <v>102</v>
      </c>
      <c r="B49" s="56">
        <v>6</v>
      </c>
      <c r="C49" s="43" t="s">
        <v>96</v>
      </c>
      <c r="D49" s="62">
        <v>11</v>
      </c>
      <c r="E49" s="63">
        <v>15</v>
      </c>
      <c r="F49" s="43">
        <v>28</v>
      </c>
      <c r="G49" s="43">
        <v>16</v>
      </c>
      <c r="H49" s="43">
        <v>5</v>
      </c>
      <c r="I49" s="63">
        <v>8</v>
      </c>
      <c r="J49" s="43">
        <v>5</v>
      </c>
      <c r="K49" s="43">
        <v>8</v>
      </c>
      <c r="L49" s="63">
        <v>4</v>
      </c>
      <c r="M49" s="43">
        <v>5</v>
      </c>
      <c r="N49">
        <f>AVERAGE(K49:M49)</f>
        <v>5.666666666666667</v>
      </c>
      <c r="O49">
        <f>AVERAGE(D49:M49)</f>
        <v>10.5</v>
      </c>
      <c r="R49" s="43" t="s">
        <v>102</v>
      </c>
      <c r="S49" s="56">
        <v>6</v>
      </c>
      <c r="T49" s="43" t="s">
        <v>96</v>
      </c>
      <c r="U49" s="62">
        <v>20</v>
      </c>
      <c r="V49" s="63">
        <v>22</v>
      </c>
      <c r="W49" s="43">
        <v>35</v>
      </c>
      <c r="X49" s="43">
        <v>23</v>
      </c>
      <c r="Y49" s="43">
        <v>5</v>
      </c>
      <c r="Z49" s="63">
        <v>14</v>
      </c>
      <c r="AA49" s="43">
        <v>7</v>
      </c>
      <c r="AB49" s="43">
        <v>8</v>
      </c>
      <c r="AC49" s="63">
        <v>6</v>
      </c>
      <c r="AD49" s="43">
        <v>7</v>
      </c>
      <c r="AE49">
        <f>AVERAGE(AB49:AD49)</f>
        <v>7</v>
      </c>
      <c r="AF49">
        <f>AVERAGE(U49:AD49)</f>
        <v>14.7</v>
      </c>
      <c r="AI49" s="43" t="s">
        <v>102</v>
      </c>
      <c r="AJ49" s="56">
        <v>6</v>
      </c>
      <c r="AK49" s="43" t="s">
        <v>96</v>
      </c>
      <c r="AL49" s="62">
        <v>16</v>
      </c>
      <c r="AM49" s="63">
        <v>25</v>
      </c>
      <c r="AN49" s="43">
        <v>34</v>
      </c>
      <c r="AO49" s="43">
        <v>17</v>
      </c>
      <c r="AP49" s="43">
        <v>14</v>
      </c>
      <c r="AQ49" s="63">
        <v>22</v>
      </c>
      <c r="AR49" s="43">
        <v>4</v>
      </c>
      <c r="AS49" s="43">
        <v>17</v>
      </c>
      <c r="AT49" s="43">
        <v>11</v>
      </c>
      <c r="AU49" s="43">
        <v>9</v>
      </c>
      <c r="AV49">
        <f>AVERAGE(AS49:AU49)</f>
        <v>12.333333333333334</v>
      </c>
      <c r="AW49">
        <f>AVERAGE(AL49:AU49)</f>
        <v>16.899999999999999</v>
      </c>
    </row>
  </sheetData>
  <sortState xmlns:xlrd2="http://schemas.microsoft.com/office/spreadsheetml/2017/richdata2" ref="AI21:AX36">
    <sortCondition ref="AX21:AX36"/>
    <sortCondition ref="AJ21:AJ3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2EA6-827F-413F-AC01-78353CC6DB59}">
  <dimension ref="A1:N106"/>
  <sheetViews>
    <sheetView topLeftCell="A40" workbookViewId="0">
      <selection activeCell="N53" sqref="N53"/>
    </sheetView>
  </sheetViews>
  <sheetFormatPr defaultRowHeight="15" x14ac:dyDescent="0.25"/>
  <cols>
    <col min="1" max="1" width="22.28515625" customWidth="1"/>
    <col min="3" max="3" width="14.7109375" customWidth="1"/>
    <col min="4" max="4" width="9.85546875" bestFit="1" customWidth="1"/>
    <col min="5" max="5" width="10.7109375" customWidth="1"/>
    <col min="6" max="6" width="10" customWidth="1"/>
    <col min="7" max="8" width="10.28515625" customWidth="1"/>
    <col min="9" max="9" width="10" customWidth="1"/>
    <col min="10" max="10" width="10.140625" customWidth="1"/>
    <col min="11" max="12" width="10.42578125" customWidth="1"/>
  </cols>
  <sheetData>
    <row r="1" spans="1:7" x14ac:dyDescent="0.25">
      <c r="A1" t="s">
        <v>227</v>
      </c>
      <c r="G1" t="s">
        <v>250</v>
      </c>
    </row>
    <row r="2" spans="1:7" x14ac:dyDescent="0.25">
      <c r="A2" t="s">
        <v>251</v>
      </c>
      <c r="G2" t="s">
        <v>252</v>
      </c>
    </row>
    <row r="3" spans="1:7" x14ac:dyDescent="0.25">
      <c r="A3" t="s">
        <v>197</v>
      </c>
      <c r="G3" t="s">
        <v>232</v>
      </c>
    </row>
    <row r="4" spans="1:7" x14ac:dyDescent="0.25">
      <c r="G4" t="s">
        <v>253</v>
      </c>
    </row>
    <row r="5" spans="1:7" x14ac:dyDescent="0.25">
      <c r="A5" t="s">
        <v>9</v>
      </c>
      <c r="G5" t="s">
        <v>254</v>
      </c>
    </row>
    <row r="6" spans="1:7" x14ac:dyDescent="0.25">
      <c r="A6" t="s">
        <v>122</v>
      </c>
      <c r="B6" t="s">
        <v>123</v>
      </c>
    </row>
    <row r="7" spans="1:7" x14ac:dyDescent="0.25">
      <c r="A7" t="s">
        <v>126</v>
      </c>
      <c r="B7" t="s">
        <v>127</v>
      </c>
    </row>
    <row r="8" spans="1:7" x14ac:dyDescent="0.25">
      <c r="A8" t="s">
        <v>129</v>
      </c>
      <c r="B8" t="s">
        <v>130</v>
      </c>
    </row>
    <row r="9" spans="1:7" x14ac:dyDescent="0.25">
      <c r="A9" t="s">
        <v>132</v>
      </c>
      <c r="B9" t="s">
        <v>17</v>
      </c>
    </row>
    <row r="10" spans="1:7" x14ac:dyDescent="0.25">
      <c r="A10" t="s">
        <v>134</v>
      </c>
      <c r="B10" t="s">
        <v>135</v>
      </c>
    </row>
    <row r="11" spans="1:7" x14ac:dyDescent="0.25">
      <c r="A11" t="s">
        <v>137</v>
      </c>
      <c r="B11" t="s">
        <v>138</v>
      </c>
    </row>
    <row r="12" spans="1:7" x14ac:dyDescent="0.25">
      <c r="A12" t="s">
        <v>140</v>
      </c>
      <c r="B12" t="s">
        <v>141</v>
      </c>
    </row>
    <row r="13" spans="1:7" x14ac:dyDescent="0.25">
      <c r="A13" t="s">
        <v>143</v>
      </c>
      <c r="B13" t="s">
        <v>17</v>
      </c>
    </row>
    <row r="14" spans="1:7" x14ac:dyDescent="0.25">
      <c r="A14" t="s">
        <v>145</v>
      </c>
      <c r="B14" t="s">
        <v>146</v>
      </c>
    </row>
    <row r="16" spans="1:7" x14ac:dyDescent="0.25">
      <c r="A16" s="64" t="s">
        <v>234</v>
      </c>
    </row>
    <row r="17" spans="1:13" x14ac:dyDescent="0.25">
      <c r="A17" s="47" t="s">
        <v>255</v>
      </c>
    </row>
    <row r="18" spans="1:13" x14ac:dyDescent="0.25">
      <c r="A18" s="75" t="s">
        <v>256</v>
      </c>
    </row>
    <row r="19" spans="1:13" ht="30" x14ac:dyDescent="0.25">
      <c r="A19" s="78" t="s">
        <v>257</v>
      </c>
      <c r="B19" s="29"/>
    </row>
    <row r="20" spans="1:13" x14ac:dyDescent="0.25">
      <c r="A20" s="49" t="s">
        <v>239</v>
      </c>
      <c r="B20" s="29"/>
    </row>
    <row r="21" spans="1:13" x14ac:dyDescent="0.25">
      <c r="B21" s="29"/>
    </row>
    <row r="22" spans="1:13" x14ac:dyDescent="0.25">
      <c r="B22" s="29"/>
    </row>
    <row r="23" spans="1:13" x14ac:dyDescent="0.25">
      <c r="B23" s="29"/>
    </row>
    <row r="25" spans="1:13" x14ac:dyDescent="0.25">
      <c r="A25" s="7"/>
      <c r="B25" s="7"/>
      <c r="C25" s="7" t="s">
        <v>201</v>
      </c>
      <c r="D25" s="28" t="s">
        <v>202</v>
      </c>
      <c r="E25" s="28" t="s">
        <v>202</v>
      </c>
      <c r="F25" s="28" t="s">
        <v>202</v>
      </c>
      <c r="G25" s="28" t="s">
        <v>202</v>
      </c>
      <c r="H25" s="28" t="s">
        <v>202</v>
      </c>
      <c r="I25" s="28" t="s">
        <v>202</v>
      </c>
      <c r="J25" s="28" t="s">
        <v>202</v>
      </c>
      <c r="K25" s="28" t="s">
        <v>202</v>
      </c>
      <c r="L25" s="28" t="s">
        <v>202</v>
      </c>
    </row>
    <row r="26" spans="1:13" x14ac:dyDescent="0.25">
      <c r="A26" s="7" t="s">
        <v>203</v>
      </c>
      <c r="B26" s="7"/>
      <c r="C26" s="7"/>
      <c r="D26" s="14" t="s">
        <v>204</v>
      </c>
      <c r="E26" s="14" t="s">
        <v>205</v>
      </c>
      <c r="F26" s="14" t="s">
        <v>206</v>
      </c>
      <c r="G26" s="14" t="s">
        <v>207</v>
      </c>
      <c r="H26" s="14" t="s">
        <v>208</v>
      </c>
      <c r="I26" s="14" t="s">
        <v>210</v>
      </c>
      <c r="J26" s="14" t="s">
        <v>211</v>
      </c>
      <c r="K26" s="14" t="s">
        <v>212</v>
      </c>
      <c r="L26" s="14" t="s">
        <v>213</v>
      </c>
      <c r="M26" s="14" t="s">
        <v>214</v>
      </c>
    </row>
    <row r="27" spans="1:13" x14ac:dyDescent="0.25">
      <c r="A27" s="7" t="s">
        <v>215</v>
      </c>
      <c r="B27" s="7" t="s">
        <v>216</v>
      </c>
      <c r="C27" s="7" t="s">
        <v>8</v>
      </c>
      <c r="D27" s="8">
        <v>44404</v>
      </c>
      <c r="E27" s="8">
        <v>44405</v>
      </c>
      <c r="F27" s="8">
        <v>44406</v>
      </c>
      <c r="G27" s="8">
        <v>44407</v>
      </c>
      <c r="H27" s="8">
        <v>44408</v>
      </c>
      <c r="I27" s="8">
        <v>44409</v>
      </c>
      <c r="J27" s="8">
        <v>44410</v>
      </c>
      <c r="K27" s="8">
        <v>44411</v>
      </c>
      <c r="L27" s="8">
        <v>44412</v>
      </c>
      <c r="M27" s="8">
        <v>44413</v>
      </c>
    </row>
    <row r="28" spans="1:13" ht="23.25" x14ac:dyDescent="0.25">
      <c r="A28" s="71" t="s">
        <v>121</v>
      </c>
      <c r="B28" s="43">
        <v>1</v>
      </c>
      <c r="C28" s="74" t="s">
        <v>96</v>
      </c>
      <c r="D28" s="65">
        <v>256</v>
      </c>
      <c r="E28" s="3"/>
      <c r="F28" s="31">
        <v>263</v>
      </c>
      <c r="G28" s="46"/>
      <c r="H28" s="46"/>
      <c r="I28" s="46">
        <v>269</v>
      </c>
      <c r="J28" s="46"/>
      <c r="K28" s="46"/>
      <c r="L28" s="4"/>
      <c r="M28" s="4"/>
    </row>
    <row r="29" spans="1:13" x14ac:dyDescent="0.25">
      <c r="A29" s="43" t="s">
        <v>124</v>
      </c>
      <c r="B29" s="43">
        <v>2</v>
      </c>
      <c r="C29" s="74" t="s">
        <v>96</v>
      </c>
      <c r="D29" s="43">
        <v>251</v>
      </c>
      <c r="E29" s="3"/>
      <c r="F29" s="3">
        <v>270</v>
      </c>
      <c r="G29" s="4"/>
      <c r="H29" s="4"/>
      <c r="I29" s="4">
        <v>274</v>
      </c>
      <c r="J29" s="4"/>
      <c r="K29" s="4"/>
      <c r="L29" s="4"/>
      <c r="M29" s="4"/>
    </row>
    <row r="30" spans="1:13" x14ac:dyDescent="0.25">
      <c r="A30" s="43" t="s">
        <v>128</v>
      </c>
      <c r="B30" s="43">
        <v>3</v>
      </c>
      <c r="C30" s="74" t="s">
        <v>96</v>
      </c>
      <c r="D30" s="43">
        <v>245</v>
      </c>
      <c r="E30" s="3"/>
      <c r="F30" s="3">
        <v>255</v>
      </c>
      <c r="G30" s="4"/>
      <c r="H30" s="4"/>
      <c r="I30" s="4">
        <v>249</v>
      </c>
      <c r="J30" s="4"/>
      <c r="K30" s="4"/>
      <c r="L30" s="4"/>
      <c r="M30" s="4"/>
    </row>
    <row r="31" spans="1:13" x14ac:dyDescent="0.25">
      <c r="A31" s="43" t="s">
        <v>131</v>
      </c>
      <c r="B31" s="43">
        <v>4</v>
      </c>
      <c r="C31" s="74" t="s">
        <v>96</v>
      </c>
      <c r="D31" s="43">
        <v>235</v>
      </c>
      <c r="E31" s="3"/>
      <c r="F31" s="3">
        <v>267</v>
      </c>
      <c r="G31" s="4"/>
      <c r="H31" s="4"/>
      <c r="I31" s="4">
        <v>279</v>
      </c>
      <c r="J31" s="4"/>
      <c r="K31" s="4"/>
      <c r="L31" s="4"/>
      <c r="M31" s="4"/>
    </row>
    <row r="32" spans="1:13" x14ac:dyDescent="0.25">
      <c r="A32" s="43" t="s">
        <v>133</v>
      </c>
      <c r="B32" s="43">
        <v>5</v>
      </c>
      <c r="C32" s="74" t="s">
        <v>19</v>
      </c>
      <c r="D32" s="43">
        <v>250</v>
      </c>
      <c r="E32" s="3"/>
      <c r="F32" s="3">
        <v>258</v>
      </c>
      <c r="G32" s="4"/>
      <c r="H32" s="46"/>
      <c r="I32" s="4">
        <v>263</v>
      </c>
      <c r="J32" s="4"/>
      <c r="K32" s="4"/>
      <c r="L32" s="4"/>
      <c r="M32" s="4"/>
    </row>
    <row r="33" spans="1:13" x14ac:dyDescent="0.25">
      <c r="A33" s="43" t="s">
        <v>136</v>
      </c>
      <c r="B33" s="43">
        <v>6</v>
      </c>
      <c r="C33" s="74" t="s">
        <v>19</v>
      </c>
      <c r="D33" s="43">
        <v>263</v>
      </c>
      <c r="E33" s="3"/>
      <c r="F33" s="3">
        <v>269</v>
      </c>
      <c r="G33" s="4"/>
      <c r="H33" s="4"/>
      <c r="I33" s="4">
        <v>274</v>
      </c>
      <c r="J33" s="4"/>
      <c r="K33" s="4"/>
      <c r="L33" s="4"/>
      <c r="M33" s="46"/>
    </row>
    <row r="34" spans="1:13" x14ac:dyDescent="0.25">
      <c r="A34" s="43" t="s">
        <v>139</v>
      </c>
      <c r="B34" s="43">
        <v>7</v>
      </c>
      <c r="C34" s="74" t="s">
        <v>96</v>
      </c>
      <c r="D34" s="43">
        <v>285</v>
      </c>
      <c r="E34" s="76"/>
      <c r="F34" s="31">
        <v>243</v>
      </c>
      <c r="G34" s="77"/>
      <c r="H34" s="30"/>
      <c r="I34" s="46">
        <v>239</v>
      </c>
      <c r="J34" s="4"/>
      <c r="K34" s="4"/>
      <c r="L34" s="4"/>
      <c r="M34" s="4"/>
    </row>
    <row r="35" spans="1:13" x14ac:dyDescent="0.25">
      <c r="A35" s="43" t="s">
        <v>142</v>
      </c>
      <c r="B35" s="43">
        <v>8</v>
      </c>
      <c r="C35" s="74" t="s">
        <v>19</v>
      </c>
      <c r="D35" s="65">
        <v>256</v>
      </c>
      <c r="E35" s="76"/>
      <c r="F35" s="3">
        <v>271</v>
      </c>
      <c r="G35" s="4"/>
      <c r="H35" s="4"/>
      <c r="I35" s="4">
        <v>280</v>
      </c>
      <c r="J35" s="46"/>
      <c r="K35" s="4"/>
      <c r="L35" s="46"/>
      <c r="M35" s="46"/>
    </row>
    <row r="36" spans="1:13" x14ac:dyDescent="0.25">
      <c r="A36" s="43" t="s">
        <v>144</v>
      </c>
      <c r="B36" s="43">
        <v>9</v>
      </c>
      <c r="C36" s="74" t="s">
        <v>19</v>
      </c>
      <c r="D36" s="43">
        <v>221</v>
      </c>
      <c r="E36" s="3"/>
      <c r="F36" s="3">
        <v>230</v>
      </c>
      <c r="G36" s="4"/>
      <c r="H36" s="4"/>
      <c r="I36" s="4">
        <v>239</v>
      </c>
      <c r="J36" s="4"/>
      <c r="K36" s="4"/>
      <c r="L36" s="4"/>
      <c r="M36" s="4"/>
    </row>
    <row r="37" spans="1:13" x14ac:dyDescent="0.25">
      <c r="A37" s="43" t="s">
        <v>147</v>
      </c>
      <c r="B37" s="43">
        <v>10</v>
      </c>
      <c r="C37" s="74" t="s">
        <v>96</v>
      </c>
      <c r="D37" s="43">
        <v>268</v>
      </c>
      <c r="E37" s="3"/>
      <c r="F37" s="3">
        <v>289</v>
      </c>
      <c r="G37" s="4"/>
      <c r="H37" s="4"/>
      <c r="I37" s="4">
        <v>294</v>
      </c>
      <c r="J37" s="4"/>
      <c r="K37" s="4"/>
      <c r="L37" s="4"/>
      <c r="M37" s="4"/>
    </row>
    <row r="38" spans="1:13" ht="23.25" x14ac:dyDescent="0.25">
      <c r="A38" s="71" t="s">
        <v>148</v>
      </c>
      <c r="B38" s="43">
        <v>11</v>
      </c>
      <c r="C38" s="74" t="s">
        <v>96</v>
      </c>
      <c r="D38" s="43">
        <v>258</v>
      </c>
      <c r="E38" s="3"/>
      <c r="F38" s="3">
        <v>263</v>
      </c>
      <c r="G38" s="4"/>
      <c r="H38" s="4"/>
      <c r="I38" s="4">
        <v>267</v>
      </c>
      <c r="J38" s="4"/>
      <c r="K38" s="4"/>
      <c r="L38" s="50"/>
      <c r="M38" s="50"/>
    </row>
    <row r="39" spans="1:13" x14ac:dyDescent="0.25">
      <c r="A39" s="43" t="s">
        <v>149</v>
      </c>
      <c r="B39" s="43">
        <v>12</v>
      </c>
      <c r="C39" s="74" t="s">
        <v>96</v>
      </c>
      <c r="D39" s="43">
        <v>265</v>
      </c>
      <c r="E39" s="3"/>
      <c r="F39" s="3">
        <v>287</v>
      </c>
      <c r="G39" s="4"/>
      <c r="H39" s="4"/>
      <c r="I39" s="4">
        <v>299</v>
      </c>
      <c r="J39" s="4"/>
      <c r="K39" s="4"/>
      <c r="L39" s="4"/>
      <c r="M39" s="4"/>
    </row>
    <row r="40" spans="1:13" x14ac:dyDescent="0.25">
      <c r="A40" s="43" t="s">
        <v>150</v>
      </c>
      <c r="B40" s="43">
        <v>13</v>
      </c>
      <c r="C40" s="74" t="s">
        <v>96</v>
      </c>
      <c r="D40" s="43">
        <v>226</v>
      </c>
      <c r="E40" s="3"/>
      <c r="F40" s="3">
        <v>234</v>
      </c>
      <c r="G40" s="4"/>
      <c r="H40" s="4"/>
      <c r="I40" s="4">
        <v>250</v>
      </c>
      <c r="J40" s="4"/>
      <c r="K40" s="4"/>
      <c r="L40" s="4"/>
      <c r="M40" s="4"/>
    </row>
    <row r="41" spans="1:13" x14ac:dyDescent="0.25">
      <c r="A41" s="43" t="s">
        <v>151</v>
      </c>
      <c r="B41" s="43">
        <v>14</v>
      </c>
      <c r="C41" s="74" t="s">
        <v>19</v>
      </c>
      <c r="D41" s="43">
        <v>225</v>
      </c>
      <c r="E41" s="3"/>
      <c r="F41" s="3">
        <v>248</v>
      </c>
      <c r="G41" s="4"/>
      <c r="H41" s="46"/>
      <c r="I41" s="4">
        <v>239</v>
      </c>
      <c r="J41" s="4"/>
      <c r="K41" s="4"/>
      <c r="L41" s="4"/>
      <c r="M41" s="4"/>
    </row>
    <row r="42" spans="1:13" x14ac:dyDescent="0.25">
      <c r="A42" s="43" t="s">
        <v>152</v>
      </c>
      <c r="B42" s="43">
        <v>15</v>
      </c>
      <c r="C42" s="74" t="s">
        <v>96</v>
      </c>
      <c r="D42" s="63">
        <v>257</v>
      </c>
      <c r="E42" s="3"/>
      <c r="F42" s="3">
        <v>270</v>
      </c>
      <c r="G42" s="4"/>
      <c r="H42" s="4"/>
      <c r="I42" s="4">
        <v>275</v>
      </c>
      <c r="J42" s="4"/>
      <c r="K42" s="4"/>
      <c r="L42" s="4"/>
      <c r="M42" s="4"/>
    </row>
    <row r="43" spans="1:13" x14ac:dyDescent="0.25">
      <c r="A43" s="43" t="s">
        <v>153</v>
      </c>
      <c r="B43" s="43">
        <v>16</v>
      </c>
      <c r="C43" s="74" t="s">
        <v>96</v>
      </c>
      <c r="D43" s="43">
        <v>285</v>
      </c>
      <c r="E43" s="72"/>
      <c r="F43" s="73">
        <v>296</v>
      </c>
      <c r="G43" s="73"/>
      <c r="H43" s="4"/>
      <c r="I43" s="4">
        <v>301</v>
      </c>
      <c r="J43" s="4"/>
      <c r="K43" s="4"/>
      <c r="L43" s="4"/>
      <c r="M43" s="4"/>
    </row>
    <row r="46" spans="1:13" x14ac:dyDescent="0.25">
      <c r="A46" s="7"/>
      <c r="B46" s="7"/>
      <c r="C46" s="7" t="s">
        <v>201</v>
      </c>
      <c r="D46" s="11" t="s">
        <v>217</v>
      </c>
      <c r="E46" s="11" t="s">
        <v>217</v>
      </c>
      <c r="F46" s="11" t="s">
        <v>217</v>
      </c>
      <c r="G46" s="11" t="s">
        <v>217</v>
      </c>
      <c r="H46" s="11" t="s">
        <v>217</v>
      </c>
      <c r="I46" s="11" t="s">
        <v>217</v>
      </c>
      <c r="J46" s="11" t="s">
        <v>217</v>
      </c>
      <c r="K46" s="11" t="s">
        <v>217</v>
      </c>
      <c r="L46" s="11" t="s">
        <v>217</v>
      </c>
    </row>
    <row r="47" spans="1:13" x14ac:dyDescent="0.25">
      <c r="A47" s="14" t="s">
        <v>218</v>
      </c>
      <c r="B47" s="7"/>
      <c r="C47" s="7"/>
      <c r="D47" s="14" t="s">
        <v>204</v>
      </c>
      <c r="E47" s="14" t="s">
        <v>205</v>
      </c>
      <c r="F47" s="14" t="s">
        <v>206</v>
      </c>
      <c r="G47" s="14" t="s">
        <v>207</v>
      </c>
      <c r="H47" s="14" t="s">
        <v>208</v>
      </c>
      <c r="I47" s="14" t="s">
        <v>210</v>
      </c>
      <c r="J47" s="14" t="s">
        <v>211</v>
      </c>
      <c r="K47" s="14" t="s">
        <v>212</v>
      </c>
      <c r="L47" s="14" t="s">
        <v>213</v>
      </c>
      <c r="M47" s="14" t="s">
        <v>214</v>
      </c>
    </row>
    <row r="48" spans="1:13" x14ac:dyDescent="0.25">
      <c r="A48" s="7" t="s">
        <v>215</v>
      </c>
      <c r="B48" s="7" t="s">
        <v>216</v>
      </c>
      <c r="C48" s="7" t="s">
        <v>8</v>
      </c>
      <c r="D48" s="8">
        <v>44404</v>
      </c>
      <c r="E48" s="8">
        <v>44405</v>
      </c>
      <c r="F48" s="8">
        <v>44406</v>
      </c>
      <c r="G48" s="8">
        <v>44407</v>
      </c>
      <c r="H48" s="8">
        <v>44408</v>
      </c>
      <c r="I48" s="8">
        <v>44409</v>
      </c>
      <c r="J48" s="8">
        <v>44410</v>
      </c>
      <c r="K48" s="8">
        <v>44411</v>
      </c>
      <c r="L48" s="8">
        <v>44412</v>
      </c>
      <c r="M48" s="8">
        <v>44413</v>
      </c>
    </row>
    <row r="49" spans="1:14" ht="23.25" x14ac:dyDescent="0.25">
      <c r="A49" s="71" t="s">
        <v>121</v>
      </c>
      <c r="B49" s="43">
        <v>1</v>
      </c>
      <c r="C49" s="43" t="s">
        <v>96</v>
      </c>
      <c r="D49" s="65">
        <v>21</v>
      </c>
      <c r="E49" s="3">
        <v>21</v>
      </c>
      <c r="F49" s="31">
        <v>18</v>
      </c>
      <c r="G49" s="46">
        <v>18</v>
      </c>
      <c r="H49" s="46">
        <v>23</v>
      </c>
      <c r="I49" s="46">
        <v>22</v>
      </c>
      <c r="J49" s="46">
        <v>18</v>
      </c>
      <c r="K49" s="46">
        <v>20</v>
      </c>
      <c r="L49" s="4">
        <v>31</v>
      </c>
      <c r="M49" s="4">
        <v>17</v>
      </c>
    </row>
    <row r="50" spans="1:14" x14ac:dyDescent="0.25">
      <c r="A50" s="43" t="s">
        <v>124</v>
      </c>
      <c r="B50" s="43">
        <v>2</v>
      </c>
      <c r="C50" s="43" t="s">
        <v>96</v>
      </c>
      <c r="D50" s="43">
        <v>27</v>
      </c>
      <c r="E50" s="3">
        <v>44</v>
      </c>
      <c r="F50" s="3">
        <v>47</v>
      </c>
      <c r="G50" s="4">
        <v>49</v>
      </c>
      <c r="H50" s="4">
        <v>41</v>
      </c>
      <c r="I50" s="4">
        <v>44</v>
      </c>
      <c r="J50" s="4">
        <v>25</v>
      </c>
      <c r="K50" s="4">
        <v>51</v>
      </c>
      <c r="L50" s="4">
        <v>31</v>
      </c>
      <c r="M50" s="4">
        <v>42</v>
      </c>
    </row>
    <row r="51" spans="1:14" x14ac:dyDescent="0.25">
      <c r="A51" s="43" t="s">
        <v>128</v>
      </c>
      <c r="B51" s="43">
        <v>3</v>
      </c>
      <c r="C51" s="43" t="s">
        <v>96</v>
      </c>
      <c r="D51" s="43">
        <v>36</v>
      </c>
      <c r="E51" s="3">
        <v>59</v>
      </c>
      <c r="F51" s="3">
        <v>75</v>
      </c>
      <c r="G51" s="4">
        <v>75</v>
      </c>
      <c r="H51" s="4">
        <v>73</v>
      </c>
      <c r="I51" s="4">
        <v>53</v>
      </c>
      <c r="J51" s="4">
        <v>36</v>
      </c>
      <c r="K51" s="4">
        <v>52</v>
      </c>
      <c r="L51" s="4">
        <v>49</v>
      </c>
      <c r="M51" s="4">
        <v>42</v>
      </c>
    </row>
    <row r="52" spans="1:14" x14ac:dyDescent="0.25">
      <c r="A52" s="43" t="s">
        <v>131</v>
      </c>
      <c r="B52" s="43">
        <v>4</v>
      </c>
      <c r="C52" s="43" t="s">
        <v>96</v>
      </c>
      <c r="D52" s="43">
        <v>23</v>
      </c>
      <c r="E52" s="3">
        <v>18</v>
      </c>
      <c r="F52" s="3">
        <v>18</v>
      </c>
      <c r="G52" s="4">
        <v>3</v>
      </c>
      <c r="H52" s="4">
        <v>13</v>
      </c>
      <c r="I52" s="4">
        <v>9</v>
      </c>
      <c r="J52" s="4">
        <v>8</v>
      </c>
      <c r="K52" s="4">
        <v>13</v>
      </c>
      <c r="L52" s="4">
        <v>18</v>
      </c>
      <c r="M52" s="4">
        <v>18</v>
      </c>
      <c r="N52" s="167"/>
    </row>
    <row r="53" spans="1:14" x14ac:dyDescent="0.25">
      <c r="A53" s="43" t="s">
        <v>133</v>
      </c>
      <c r="B53" s="43">
        <v>5</v>
      </c>
      <c r="C53" s="43" t="s">
        <v>19</v>
      </c>
      <c r="D53" s="43">
        <v>75</v>
      </c>
      <c r="E53" s="3">
        <v>54</v>
      </c>
      <c r="F53" s="3">
        <v>55</v>
      </c>
      <c r="G53" s="4">
        <v>74</v>
      </c>
      <c r="H53" s="46">
        <v>75</v>
      </c>
      <c r="I53" s="4">
        <v>75</v>
      </c>
      <c r="J53" s="4">
        <v>14</v>
      </c>
      <c r="K53" s="4">
        <v>7</v>
      </c>
      <c r="L53" s="4">
        <v>66</v>
      </c>
      <c r="M53" s="4">
        <v>50</v>
      </c>
    </row>
    <row r="54" spans="1:14" x14ac:dyDescent="0.25">
      <c r="A54" s="43" t="s">
        <v>136</v>
      </c>
      <c r="B54" s="43">
        <v>6</v>
      </c>
      <c r="C54" s="43" t="s">
        <v>19</v>
      </c>
      <c r="D54" s="43">
        <v>55</v>
      </c>
      <c r="E54" s="3">
        <v>75</v>
      </c>
      <c r="F54" s="3">
        <v>62</v>
      </c>
      <c r="G54" s="4">
        <v>53</v>
      </c>
      <c r="H54" s="4">
        <v>60</v>
      </c>
      <c r="I54" s="4">
        <v>43</v>
      </c>
      <c r="J54" s="4">
        <v>11</v>
      </c>
      <c r="K54" s="4">
        <v>27</v>
      </c>
      <c r="L54" s="4">
        <v>35</v>
      </c>
      <c r="M54" s="46">
        <v>22</v>
      </c>
    </row>
    <row r="55" spans="1:14" x14ac:dyDescent="0.25">
      <c r="A55" s="43" t="s">
        <v>139</v>
      </c>
      <c r="B55" s="43">
        <v>7</v>
      </c>
      <c r="C55" s="43" t="s">
        <v>96</v>
      </c>
      <c r="D55" s="43">
        <v>1</v>
      </c>
      <c r="E55" s="76">
        <v>18</v>
      </c>
      <c r="F55" s="31">
        <v>6</v>
      </c>
      <c r="G55" s="77">
        <v>14</v>
      </c>
      <c r="H55" s="30">
        <v>13</v>
      </c>
      <c r="I55" s="46">
        <v>12</v>
      </c>
      <c r="J55" s="4">
        <v>14</v>
      </c>
      <c r="K55" s="4">
        <v>16</v>
      </c>
      <c r="L55" s="4">
        <v>6</v>
      </c>
      <c r="M55" s="4">
        <v>4</v>
      </c>
    </row>
    <row r="56" spans="1:14" x14ac:dyDescent="0.25">
      <c r="A56" s="43" t="s">
        <v>142</v>
      </c>
      <c r="B56" s="43">
        <v>8</v>
      </c>
      <c r="C56" s="43" t="s">
        <v>19</v>
      </c>
      <c r="D56" s="65">
        <v>60</v>
      </c>
      <c r="E56" s="76">
        <v>74</v>
      </c>
      <c r="F56" s="3">
        <v>69</v>
      </c>
      <c r="G56" s="4">
        <v>75</v>
      </c>
      <c r="H56" s="4">
        <v>75</v>
      </c>
      <c r="I56" s="4">
        <v>75</v>
      </c>
      <c r="J56" s="46">
        <v>75</v>
      </c>
      <c r="K56" s="4">
        <v>75</v>
      </c>
      <c r="L56" s="46">
        <v>75</v>
      </c>
      <c r="M56" s="46">
        <v>59</v>
      </c>
    </row>
    <row r="57" spans="1:14" x14ac:dyDescent="0.25">
      <c r="A57" s="43" t="s">
        <v>144</v>
      </c>
      <c r="B57" s="43">
        <v>9</v>
      </c>
      <c r="C57" s="43" t="s">
        <v>19</v>
      </c>
      <c r="D57" s="43">
        <v>30</v>
      </c>
      <c r="E57" s="3">
        <v>7</v>
      </c>
      <c r="F57" s="3">
        <v>35</v>
      </c>
      <c r="G57" s="4">
        <v>27</v>
      </c>
      <c r="H57" s="4">
        <v>18</v>
      </c>
      <c r="I57" s="4">
        <v>22</v>
      </c>
      <c r="J57" s="4">
        <v>14</v>
      </c>
      <c r="K57" s="4">
        <v>8</v>
      </c>
      <c r="L57" s="4">
        <v>10</v>
      </c>
      <c r="M57" s="4">
        <v>5</v>
      </c>
    </row>
    <row r="58" spans="1:14" x14ac:dyDescent="0.25">
      <c r="A58" s="43" t="s">
        <v>147</v>
      </c>
      <c r="B58" s="43">
        <v>10</v>
      </c>
      <c r="C58" s="43" t="s">
        <v>96</v>
      </c>
      <c r="D58" s="43">
        <v>39</v>
      </c>
      <c r="E58" s="3">
        <v>44</v>
      </c>
      <c r="F58" s="3">
        <v>68</v>
      </c>
      <c r="G58" s="4">
        <v>75</v>
      </c>
      <c r="H58" s="4">
        <v>75</v>
      </c>
      <c r="I58" s="4">
        <v>71</v>
      </c>
      <c r="J58" s="4">
        <v>49</v>
      </c>
      <c r="K58" s="4">
        <v>47</v>
      </c>
      <c r="L58" s="4">
        <v>39</v>
      </c>
      <c r="M58" s="4">
        <v>44</v>
      </c>
    </row>
    <row r="59" spans="1:14" ht="23.25" x14ac:dyDescent="0.25">
      <c r="A59" s="71" t="s">
        <v>148</v>
      </c>
      <c r="B59" s="43">
        <v>11</v>
      </c>
      <c r="C59" s="43" t="s">
        <v>96</v>
      </c>
      <c r="D59" s="43">
        <v>23</v>
      </c>
      <c r="E59" s="3">
        <v>30</v>
      </c>
      <c r="F59" s="3">
        <v>29</v>
      </c>
      <c r="G59" s="4">
        <v>38</v>
      </c>
      <c r="H59" s="4">
        <v>36</v>
      </c>
      <c r="I59" s="4">
        <v>33</v>
      </c>
      <c r="J59" s="4">
        <v>26</v>
      </c>
      <c r="K59" s="4">
        <v>55</v>
      </c>
      <c r="L59" s="50">
        <v>2</v>
      </c>
      <c r="M59" s="50"/>
    </row>
    <row r="60" spans="1:14" x14ac:dyDescent="0.25">
      <c r="A60" s="43" t="s">
        <v>149</v>
      </c>
      <c r="B60" s="43">
        <v>12</v>
      </c>
      <c r="C60" s="43" t="s">
        <v>96</v>
      </c>
      <c r="D60" s="43">
        <v>13</v>
      </c>
      <c r="E60" s="3">
        <v>34</v>
      </c>
      <c r="F60" s="3">
        <v>31</v>
      </c>
      <c r="G60" s="4">
        <v>24</v>
      </c>
      <c r="H60" s="4">
        <v>27</v>
      </c>
      <c r="I60" s="4">
        <v>29</v>
      </c>
      <c r="J60" s="4">
        <v>33</v>
      </c>
      <c r="K60" s="4">
        <v>21</v>
      </c>
      <c r="L60" s="4">
        <v>16</v>
      </c>
      <c r="M60" s="4">
        <v>14</v>
      </c>
    </row>
    <row r="61" spans="1:14" x14ac:dyDescent="0.25">
      <c r="A61" s="43" t="s">
        <v>150</v>
      </c>
      <c r="B61" s="43">
        <v>13</v>
      </c>
      <c r="C61" s="43" t="s">
        <v>96</v>
      </c>
      <c r="D61" s="43">
        <v>31</v>
      </c>
      <c r="E61" s="3">
        <v>48</v>
      </c>
      <c r="F61" s="3">
        <v>67</v>
      </c>
      <c r="G61" s="4">
        <v>75</v>
      </c>
      <c r="H61" s="4">
        <v>75</v>
      </c>
      <c r="I61" s="4">
        <v>75</v>
      </c>
      <c r="J61" s="4">
        <v>75</v>
      </c>
      <c r="K61" s="4">
        <v>72</v>
      </c>
      <c r="L61" s="4">
        <v>73</v>
      </c>
      <c r="M61" s="4">
        <v>56</v>
      </c>
    </row>
    <row r="62" spans="1:14" x14ac:dyDescent="0.25">
      <c r="A62" s="43" t="s">
        <v>151</v>
      </c>
      <c r="B62" s="43">
        <v>14</v>
      </c>
      <c r="C62" s="43" t="s">
        <v>19</v>
      </c>
      <c r="D62" s="43">
        <v>26</v>
      </c>
      <c r="E62" s="3">
        <v>25</v>
      </c>
      <c r="F62" s="3">
        <v>24</v>
      </c>
      <c r="G62" s="4">
        <v>27</v>
      </c>
      <c r="H62" s="46">
        <v>33</v>
      </c>
      <c r="I62" s="4">
        <v>50</v>
      </c>
      <c r="J62" s="4">
        <v>31</v>
      </c>
      <c r="K62" s="4">
        <v>26</v>
      </c>
      <c r="L62" s="4">
        <v>29</v>
      </c>
      <c r="M62" s="4">
        <v>9</v>
      </c>
    </row>
    <row r="63" spans="1:14" x14ac:dyDescent="0.25">
      <c r="A63" s="43" t="s">
        <v>152</v>
      </c>
      <c r="B63" s="43">
        <v>15</v>
      </c>
      <c r="C63" s="43" t="s">
        <v>96</v>
      </c>
      <c r="D63" s="63">
        <v>75</v>
      </c>
      <c r="E63" s="3">
        <v>41</v>
      </c>
      <c r="F63" s="3">
        <v>45</v>
      </c>
      <c r="G63" s="4">
        <v>42</v>
      </c>
      <c r="H63" s="4">
        <v>46</v>
      </c>
      <c r="I63" s="4">
        <v>32</v>
      </c>
      <c r="J63" s="4">
        <v>27</v>
      </c>
      <c r="K63" s="4">
        <v>25</v>
      </c>
      <c r="L63" s="4">
        <v>52</v>
      </c>
      <c r="M63" s="4">
        <v>41</v>
      </c>
    </row>
    <row r="64" spans="1:14" x14ac:dyDescent="0.25">
      <c r="A64" s="43" t="s">
        <v>153</v>
      </c>
      <c r="B64" s="43">
        <v>16</v>
      </c>
      <c r="C64" s="43" t="s">
        <v>96</v>
      </c>
      <c r="D64" s="43">
        <v>24</v>
      </c>
      <c r="E64" s="72">
        <v>46</v>
      </c>
      <c r="F64" s="73">
        <v>26</v>
      </c>
      <c r="G64" s="73">
        <v>74</v>
      </c>
      <c r="H64" s="4">
        <v>27</v>
      </c>
      <c r="I64" s="4">
        <v>35</v>
      </c>
      <c r="J64" s="4">
        <v>29</v>
      </c>
      <c r="K64" s="4">
        <v>37</v>
      </c>
      <c r="L64" s="4">
        <v>44</v>
      </c>
      <c r="M64" s="4">
        <v>27</v>
      </c>
    </row>
    <row r="65" spans="1:13" x14ac:dyDescent="0.25">
      <c r="B65" s="7"/>
      <c r="D65" s="29"/>
      <c r="E65" s="29"/>
      <c r="F65" s="29"/>
      <c r="G65" s="29"/>
      <c r="H65" s="7"/>
      <c r="I65" s="7"/>
      <c r="J65" s="7"/>
      <c r="K65" s="7"/>
      <c r="L65" s="7"/>
      <c r="M65" s="7"/>
    </row>
    <row r="67" spans="1:13" x14ac:dyDescent="0.25">
      <c r="A67" s="7"/>
      <c r="B67" s="7"/>
      <c r="C67" s="7" t="s">
        <v>201</v>
      </c>
      <c r="D67" s="11" t="s">
        <v>217</v>
      </c>
      <c r="E67" s="11" t="s">
        <v>217</v>
      </c>
      <c r="F67" s="11" t="s">
        <v>217</v>
      </c>
      <c r="G67" s="11" t="s">
        <v>217</v>
      </c>
      <c r="H67" s="11" t="s">
        <v>217</v>
      </c>
      <c r="I67" s="11" t="s">
        <v>217</v>
      </c>
      <c r="J67" s="11" t="s">
        <v>217</v>
      </c>
      <c r="K67" s="11" t="s">
        <v>217</v>
      </c>
      <c r="L67" s="11" t="s">
        <v>217</v>
      </c>
    </row>
    <row r="68" spans="1:13" x14ac:dyDescent="0.25">
      <c r="A68" s="14" t="s">
        <v>219</v>
      </c>
      <c r="B68" s="7"/>
      <c r="C68" s="7"/>
      <c r="D68" s="14" t="s">
        <v>204</v>
      </c>
      <c r="E68" s="14" t="s">
        <v>205</v>
      </c>
      <c r="F68" s="14" t="s">
        <v>206</v>
      </c>
      <c r="G68" s="14" t="s">
        <v>207</v>
      </c>
      <c r="H68" s="14" t="s">
        <v>208</v>
      </c>
      <c r="I68" s="14" t="s">
        <v>210</v>
      </c>
      <c r="J68" s="14" t="s">
        <v>211</v>
      </c>
      <c r="K68" s="14" t="s">
        <v>212</v>
      </c>
      <c r="L68" s="14" t="s">
        <v>213</v>
      </c>
      <c r="M68" s="14" t="s">
        <v>214</v>
      </c>
    </row>
    <row r="69" spans="1:13" x14ac:dyDescent="0.25">
      <c r="A69" s="7" t="s">
        <v>215</v>
      </c>
      <c r="B69" s="7" t="s">
        <v>216</v>
      </c>
      <c r="C69" s="7" t="s">
        <v>8</v>
      </c>
      <c r="D69" s="8">
        <v>44404</v>
      </c>
      <c r="E69" s="8">
        <v>44405</v>
      </c>
      <c r="F69" s="8">
        <v>44406</v>
      </c>
      <c r="G69" s="8">
        <v>44407</v>
      </c>
      <c r="H69" s="8">
        <v>44408</v>
      </c>
      <c r="I69" s="8">
        <v>44409</v>
      </c>
      <c r="J69" s="8">
        <v>44410</v>
      </c>
      <c r="K69" s="8">
        <v>44411</v>
      </c>
      <c r="L69" s="8">
        <v>44412</v>
      </c>
      <c r="M69" s="8">
        <v>44413</v>
      </c>
    </row>
    <row r="70" spans="1:13" ht="23.25" x14ac:dyDescent="0.25">
      <c r="A70" s="71" t="s">
        <v>121</v>
      </c>
      <c r="B70" s="43">
        <v>1</v>
      </c>
      <c r="C70" s="43" t="s">
        <v>96</v>
      </c>
      <c r="D70" s="65">
        <v>37</v>
      </c>
      <c r="E70" s="3">
        <v>40</v>
      </c>
      <c r="F70" s="31">
        <v>42</v>
      </c>
      <c r="G70" s="46">
        <v>48</v>
      </c>
      <c r="H70" s="46">
        <v>52</v>
      </c>
      <c r="I70" s="46">
        <v>41</v>
      </c>
      <c r="J70" s="46">
        <v>27</v>
      </c>
      <c r="K70" s="46">
        <v>28</v>
      </c>
      <c r="L70" s="4">
        <v>77</v>
      </c>
      <c r="M70" s="4">
        <v>41</v>
      </c>
    </row>
    <row r="71" spans="1:13" x14ac:dyDescent="0.25">
      <c r="A71" s="43" t="s">
        <v>124</v>
      </c>
      <c r="B71" s="43">
        <v>2</v>
      </c>
      <c r="C71" s="43" t="s">
        <v>96</v>
      </c>
      <c r="D71" s="43">
        <v>49</v>
      </c>
      <c r="E71" s="3">
        <v>63</v>
      </c>
      <c r="F71" s="3">
        <v>85</v>
      </c>
      <c r="G71" s="4">
        <v>109</v>
      </c>
      <c r="H71" s="4">
        <v>55</v>
      </c>
      <c r="I71" s="4">
        <v>66</v>
      </c>
      <c r="J71" s="4">
        <v>26</v>
      </c>
      <c r="K71" s="4">
        <v>81</v>
      </c>
      <c r="L71" s="4">
        <v>41</v>
      </c>
      <c r="M71" s="4">
        <v>69</v>
      </c>
    </row>
    <row r="72" spans="1:13" x14ac:dyDescent="0.25">
      <c r="A72" s="43" t="s">
        <v>128</v>
      </c>
      <c r="B72" s="43">
        <v>3</v>
      </c>
      <c r="C72" s="43" t="s">
        <v>96</v>
      </c>
      <c r="D72" s="43">
        <v>51</v>
      </c>
      <c r="E72" s="3">
        <v>183</v>
      </c>
      <c r="F72" s="3">
        <v>296</v>
      </c>
      <c r="G72" s="4">
        <v>427</v>
      </c>
      <c r="H72" s="4">
        <v>219</v>
      </c>
      <c r="I72" s="4">
        <v>163</v>
      </c>
      <c r="J72" s="4">
        <v>68</v>
      </c>
      <c r="K72" s="4">
        <v>115</v>
      </c>
      <c r="L72" s="4">
        <v>74</v>
      </c>
      <c r="M72" s="4">
        <v>68</v>
      </c>
    </row>
    <row r="73" spans="1:13" x14ac:dyDescent="0.25">
      <c r="A73" s="43" t="s">
        <v>131</v>
      </c>
      <c r="B73" s="43">
        <v>4</v>
      </c>
      <c r="C73" s="43" t="s">
        <v>96</v>
      </c>
      <c r="D73" s="43">
        <v>34</v>
      </c>
      <c r="E73" s="3">
        <v>24</v>
      </c>
      <c r="F73" s="3">
        <v>25</v>
      </c>
      <c r="G73" s="4">
        <v>3</v>
      </c>
      <c r="H73" s="4">
        <v>14</v>
      </c>
      <c r="I73" s="4">
        <v>12</v>
      </c>
      <c r="J73" s="4">
        <v>11</v>
      </c>
      <c r="K73" s="4">
        <v>22</v>
      </c>
      <c r="L73" s="4">
        <v>24</v>
      </c>
      <c r="M73" s="4">
        <v>32</v>
      </c>
    </row>
    <row r="74" spans="1:13" x14ac:dyDescent="0.25">
      <c r="A74" s="43" t="s">
        <v>133</v>
      </c>
      <c r="B74" s="43">
        <v>5</v>
      </c>
      <c r="C74" s="43" t="s">
        <v>19</v>
      </c>
      <c r="D74" s="43">
        <v>129</v>
      </c>
      <c r="E74" s="3">
        <v>90</v>
      </c>
      <c r="F74" s="3">
        <v>101</v>
      </c>
      <c r="G74" s="4">
        <v>114</v>
      </c>
      <c r="H74" s="46">
        <v>148</v>
      </c>
      <c r="I74" s="4">
        <v>128</v>
      </c>
      <c r="J74" s="4">
        <v>19</v>
      </c>
      <c r="K74" s="4">
        <v>7</v>
      </c>
      <c r="L74" s="4">
        <v>83</v>
      </c>
      <c r="M74" s="4">
        <v>77</v>
      </c>
    </row>
    <row r="75" spans="1:13" x14ac:dyDescent="0.25">
      <c r="A75" s="43" t="s">
        <v>136</v>
      </c>
      <c r="B75" s="43">
        <v>6</v>
      </c>
      <c r="C75" s="43" t="s">
        <v>19</v>
      </c>
      <c r="D75" s="43">
        <v>88</v>
      </c>
      <c r="E75" s="3">
        <v>123</v>
      </c>
      <c r="F75" s="3">
        <v>88</v>
      </c>
      <c r="G75" s="4">
        <v>88</v>
      </c>
      <c r="H75" s="4">
        <v>95</v>
      </c>
      <c r="I75" s="4">
        <v>58</v>
      </c>
      <c r="J75" s="4">
        <v>14</v>
      </c>
      <c r="K75" s="4">
        <v>32</v>
      </c>
      <c r="L75" s="4">
        <v>41</v>
      </c>
      <c r="M75" s="46">
        <v>31</v>
      </c>
    </row>
    <row r="76" spans="1:13" x14ac:dyDescent="0.25">
      <c r="A76" s="43" t="s">
        <v>139</v>
      </c>
      <c r="B76" s="43">
        <v>7</v>
      </c>
      <c r="C76" s="43" t="s">
        <v>96</v>
      </c>
      <c r="D76" s="43">
        <v>1</v>
      </c>
      <c r="E76" s="76">
        <v>21</v>
      </c>
      <c r="F76" s="3">
        <v>7</v>
      </c>
      <c r="G76" s="77">
        <v>17</v>
      </c>
      <c r="H76" s="30">
        <v>17</v>
      </c>
      <c r="I76" s="46">
        <v>15</v>
      </c>
      <c r="J76" s="4">
        <v>15</v>
      </c>
      <c r="K76" s="4">
        <v>21</v>
      </c>
      <c r="L76" s="4">
        <v>7</v>
      </c>
      <c r="M76" s="4">
        <v>4</v>
      </c>
    </row>
    <row r="77" spans="1:13" x14ac:dyDescent="0.25">
      <c r="A77" s="43" t="s">
        <v>142</v>
      </c>
      <c r="B77" s="43">
        <v>8</v>
      </c>
      <c r="C77" s="43" t="s">
        <v>19</v>
      </c>
      <c r="D77" s="65">
        <v>156</v>
      </c>
      <c r="E77" s="76">
        <v>154</v>
      </c>
      <c r="F77" s="3">
        <v>131</v>
      </c>
      <c r="G77" s="4">
        <v>124</v>
      </c>
      <c r="H77" s="4">
        <v>132</v>
      </c>
      <c r="I77" s="4">
        <v>122</v>
      </c>
      <c r="J77" s="46">
        <v>132</v>
      </c>
      <c r="K77" s="4">
        <v>121</v>
      </c>
      <c r="L77" s="46">
        <v>152</v>
      </c>
      <c r="M77" s="46">
        <v>101</v>
      </c>
    </row>
    <row r="78" spans="1:13" x14ac:dyDescent="0.25">
      <c r="A78" s="43" t="s">
        <v>144</v>
      </c>
      <c r="B78" s="43">
        <v>9</v>
      </c>
      <c r="C78" s="43" t="s">
        <v>19</v>
      </c>
      <c r="D78" s="43">
        <v>39</v>
      </c>
      <c r="E78" s="3">
        <v>7</v>
      </c>
      <c r="F78" s="3">
        <v>39</v>
      </c>
      <c r="G78" s="4">
        <v>32</v>
      </c>
      <c r="H78" s="4">
        <v>19</v>
      </c>
      <c r="I78" s="4">
        <v>27</v>
      </c>
      <c r="J78" s="4">
        <v>14</v>
      </c>
      <c r="K78" s="4">
        <v>8</v>
      </c>
      <c r="L78" s="4">
        <v>12</v>
      </c>
      <c r="M78" s="4">
        <v>6</v>
      </c>
    </row>
    <row r="79" spans="1:13" x14ac:dyDescent="0.25">
      <c r="A79" s="43" t="s">
        <v>147</v>
      </c>
      <c r="B79" s="43">
        <v>10</v>
      </c>
      <c r="C79" s="43" t="s">
        <v>96</v>
      </c>
      <c r="D79" s="43">
        <v>62</v>
      </c>
      <c r="E79" s="3">
        <v>69</v>
      </c>
      <c r="F79" s="3">
        <v>214</v>
      </c>
      <c r="G79" s="4">
        <v>252</v>
      </c>
      <c r="H79" s="4">
        <v>396</v>
      </c>
      <c r="I79" s="4">
        <v>373</v>
      </c>
      <c r="J79" s="4">
        <v>142</v>
      </c>
      <c r="K79" s="4">
        <v>118</v>
      </c>
      <c r="L79" s="4">
        <v>87</v>
      </c>
      <c r="M79" s="4">
        <v>59</v>
      </c>
    </row>
    <row r="80" spans="1:13" ht="23.25" x14ac:dyDescent="0.25">
      <c r="A80" s="71" t="s">
        <v>148</v>
      </c>
      <c r="B80" s="43">
        <v>11</v>
      </c>
      <c r="C80" s="43" t="s">
        <v>96</v>
      </c>
      <c r="D80" s="43">
        <v>29</v>
      </c>
      <c r="E80" s="3">
        <v>56</v>
      </c>
      <c r="F80" s="3">
        <v>56</v>
      </c>
      <c r="G80" s="4">
        <v>94</v>
      </c>
      <c r="H80" s="4">
        <v>100</v>
      </c>
      <c r="I80" s="4">
        <v>74</v>
      </c>
      <c r="J80" s="4">
        <v>90</v>
      </c>
      <c r="K80" s="4">
        <v>112</v>
      </c>
      <c r="L80" s="50">
        <v>4</v>
      </c>
      <c r="M80" s="50"/>
    </row>
    <row r="81" spans="1:13" x14ac:dyDescent="0.25">
      <c r="A81" s="43" t="s">
        <v>149</v>
      </c>
      <c r="B81" s="43">
        <v>12</v>
      </c>
      <c r="C81" s="43" t="s">
        <v>96</v>
      </c>
      <c r="D81" s="43">
        <v>26</v>
      </c>
      <c r="E81" s="3">
        <v>70</v>
      </c>
      <c r="F81" s="3">
        <v>75</v>
      </c>
      <c r="G81" s="4">
        <v>47</v>
      </c>
      <c r="H81" s="4">
        <v>35</v>
      </c>
      <c r="I81" s="4">
        <v>51</v>
      </c>
      <c r="J81" s="4">
        <v>59</v>
      </c>
      <c r="K81" s="4">
        <v>32</v>
      </c>
      <c r="L81" s="4">
        <v>34</v>
      </c>
      <c r="M81" s="4">
        <v>20</v>
      </c>
    </row>
    <row r="82" spans="1:13" x14ac:dyDescent="0.25">
      <c r="A82" s="43" t="s">
        <v>150</v>
      </c>
      <c r="B82" s="43">
        <v>13</v>
      </c>
      <c r="C82" s="43" t="s">
        <v>96</v>
      </c>
      <c r="D82" s="43">
        <v>41</v>
      </c>
      <c r="E82" s="3">
        <v>60</v>
      </c>
      <c r="F82" s="3">
        <v>162</v>
      </c>
      <c r="G82" s="4">
        <v>242</v>
      </c>
      <c r="H82" s="4">
        <v>278</v>
      </c>
      <c r="I82" s="4">
        <v>256</v>
      </c>
      <c r="J82" s="4">
        <v>302</v>
      </c>
      <c r="K82" s="4">
        <v>289</v>
      </c>
      <c r="L82" s="4">
        <v>288</v>
      </c>
      <c r="M82" s="4">
        <v>216</v>
      </c>
    </row>
    <row r="83" spans="1:13" x14ac:dyDescent="0.25">
      <c r="A83" s="43" t="s">
        <v>151</v>
      </c>
      <c r="B83" s="43">
        <v>14</v>
      </c>
      <c r="C83" s="43" t="s">
        <v>19</v>
      </c>
      <c r="D83" s="43">
        <v>48</v>
      </c>
      <c r="E83" s="3">
        <v>59</v>
      </c>
      <c r="F83" s="3">
        <v>39</v>
      </c>
      <c r="G83" s="4">
        <v>42</v>
      </c>
      <c r="H83" s="46">
        <v>52</v>
      </c>
      <c r="I83" s="4">
        <v>95</v>
      </c>
      <c r="J83" s="4">
        <v>47</v>
      </c>
      <c r="K83" s="4">
        <v>49</v>
      </c>
      <c r="L83" s="4">
        <v>50</v>
      </c>
      <c r="M83" s="4">
        <v>12</v>
      </c>
    </row>
    <row r="84" spans="1:13" x14ac:dyDescent="0.25">
      <c r="A84" s="43" t="s">
        <v>152</v>
      </c>
      <c r="B84" s="43">
        <v>15</v>
      </c>
      <c r="C84" s="43" t="s">
        <v>96</v>
      </c>
      <c r="D84" s="63">
        <v>132</v>
      </c>
      <c r="E84" s="3">
        <v>48</v>
      </c>
      <c r="F84" s="3">
        <v>81</v>
      </c>
      <c r="G84" s="4">
        <v>66</v>
      </c>
      <c r="H84" s="4">
        <v>98</v>
      </c>
      <c r="I84" s="4">
        <v>54</v>
      </c>
      <c r="J84" s="4">
        <v>43</v>
      </c>
      <c r="K84" s="4">
        <v>35</v>
      </c>
      <c r="L84" s="4">
        <v>81</v>
      </c>
      <c r="M84" s="4">
        <v>61</v>
      </c>
    </row>
    <row r="85" spans="1:13" x14ac:dyDescent="0.25">
      <c r="A85" s="43" t="s">
        <v>153</v>
      </c>
      <c r="B85" s="43">
        <v>16</v>
      </c>
      <c r="C85" s="43" t="s">
        <v>96</v>
      </c>
      <c r="D85" s="43">
        <v>37</v>
      </c>
      <c r="E85" s="72">
        <v>64</v>
      </c>
      <c r="F85" s="73">
        <v>34</v>
      </c>
      <c r="G85" s="73">
        <v>87</v>
      </c>
      <c r="H85" s="4">
        <v>48</v>
      </c>
      <c r="I85" s="4">
        <v>58</v>
      </c>
      <c r="J85" s="4">
        <v>46</v>
      </c>
      <c r="K85" s="4">
        <v>64</v>
      </c>
      <c r="L85" s="4">
        <v>64</v>
      </c>
      <c r="M85" s="4">
        <v>40</v>
      </c>
    </row>
    <row r="86" spans="1:13" x14ac:dyDescent="0.25">
      <c r="B86" s="7"/>
      <c r="D86" s="29"/>
      <c r="E86" s="29"/>
      <c r="F86" s="29"/>
      <c r="G86" s="29"/>
      <c r="H86" s="7"/>
      <c r="I86" s="7"/>
      <c r="J86" s="7"/>
      <c r="K86" s="7"/>
      <c r="L86" s="7"/>
      <c r="M86" s="7"/>
    </row>
    <row r="88" spans="1:13" x14ac:dyDescent="0.25">
      <c r="A88" s="7"/>
      <c r="B88" s="7"/>
      <c r="C88" s="7" t="s">
        <v>201</v>
      </c>
      <c r="D88" s="11" t="s">
        <v>217</v>
      </c>
      <c r="E88" s="11" t="s">
        <v>217</v>
      </c>
      <c r="F88" s="11" t="s">
        <v>217</v>
      </c>
      <c r="G88" s="11" t="s">
        <v>217</v>
      </c>
      <c r="H88" s="11" t="s">
        <v>217</v>
      </c>
      <c r="I88" s="11" t="s">
        <v>217</v>
      </c>
      <c r="J88" s="11" t="s">
        <v>217</v>
      </c>
      <c r="K88" s="11" t="s">
        <v>217</v>
      </c>
      <c r="L88" s="11" t="s">
        <v>217</v>
      </c>
    </row>
    <row r="89" spans="1:13" x14ac:dyDescent="0.25">
      <c r="A89" s="14" t="s">
        <v>220</v>
      </c>
      <c r="B89" s="7"/>
      <c r="C89" s="7"/>
      <c r="D89" s="14" t="s">
        <v>204</v>
      </c>
      <c r="E89" s="14" t="s">
        <v>205</v>
      </c>
      <c r="F89" s="14" t="s">
        <v>206</v>
      </c>
      <c r="G89" s="14" t="s">
        <v>207</v>
      </c>
      <c r="H89" s="14" t="s">
        <v>208</v>
      </c>
      <c r="I89" s="14" t="s">
        <v>210</v>
      </c>
      <c r="J89" s="14" t="s">
        <v>211</v>
      </c>
      <c r="K89" s="14" t="s">
        <v>212</v>
      </c>
      <c r="L89" s="14" t="s">
        <v>213</v>
      </c>
      <c r="M89" s="14" t="s">
        <v>214</v>
      </c>
    </row>
    <row r="90" spans="1:13" x14ac:dyDescent="0.25">
      <c r="A90" s="7" t="s">
        <v>215</v>
      </c>
      <c r="B90" s="7" t="s">
        <v>216</v>
      </c>
      <c r="C90" s="7" t="s">
        <v>8</v>
      </c>
      <c r="D90" s="8">
        <v>44404</v>
      </c>
      <c r="E90" s="8">
        <v>44405</v>
      </c>
      <c r="F90" s="8">
        <v>44406</v>
      </c>
      <c r="G90" s="8">
        <v>44407</v>
      </c>
      <c r="H90" s="8">
        <v>44408</v>
      </c>
      <c r="I90" s="8">
        <v>44409</v>
      </c>
      <c r="J90" s="8">
        <v>44410</v>
      </c>
      <c r="K90" s="8">
        <v>44411</v>
      </c>
      <c r="L90" s="8">
        <v>44412</v>
      </c>
      <c r="M90" s="8">
        <v>44413</v>
      </c>
    </row>
    <row r="91" spans="1:13" ht="23.25" x14ac:dyDescent="0.25">
      <c r="A91" s="71" t="s">
        <v>121</v>
      </c>
      <c r="B91" s="43">
        <v>1</v>
      </c>
      <c r="C91" s="43" t="s">
        <v>96</v>
      </c>
      <c r="D91" s="65">
        <v>33</v>
      </c>
      <c r="E91" s="3">
        <v>3</v>
      </c>
      <c r="F91" s="3">
        <v>12</v>
      </c>
      <c r="G91" s="46">
        <v>6</v>
      </c>
      <c r="H91" s="46">
        <v>2</v>
      </c>
      <c r="I91" s="46">
        <v>8</v>
      </c>
      <c r="J91" s="46">
        <v>10</v>
      </c>
      <c r="K91" s="46">
        <v>1</v>
      </c>
      <c r="L91" s="4">
        <v>7</v>
      </c>
      <c r="M91" s="4">
        <v>4</v>
      </c>
    </row>
    <row r="92" spans="1:13" x14ac:dyDescent="0.25">
      <c r="A92" s="43" t="s">
        <v>124</v>
      </c>
      <c r="B92" s="43">
        <v>2</v>
      </c>
      <c r="C92" s="43" t="s">
        <v>96</v>
      </c>
      <c r="D92" s="43">
        <v>12</v>
      </c>
      <c r="E92" s="3">
        <v>1</v>
      </c>
      <c r="F92" s="3">
        <v>0</v>
      </c>
      <c r="G92" s="4">
        <v>3</v>
      </c>
      <c r="H92" s="4">
        <v>0</v>
      </c>
      <c r="I92" s="4">
        <v>3</v>
      </c>
      <c r="J92" s="4">
        <v>0</v>
      </c>
      <c r="K92" s="4">
        <v>1</v>
      </c>
      <c r="L92" s="4">
        <v>0</v>
      </c>
      <c r="M92" s="4">
        <v>4</v>
      </c>
    </row>
    <row r="93" spans="1:13" x14ac:dyDescent="0.25">
      <c r="A93" s="43" t="s">
        <v>128</v>
      </c>
      <c r="B93" s="43">
        <v>3</v>
      </c>
      <c r="C93" s="43" t="s">
        <v>96</v>
      </c>
      <c r="D93" s="43">
        <v>19</v>
      </c>
      <c r="E93" s="3">
        <v>16</v>
      </c>
      <c r="F93" s="3">
        <v>13</v>
      </c>
      <c r="G93" s="4">
        <v>3</v>
      </c>
      <c r="H93" s="4">
        <v>7</v>
      </c>
      <c r="I93" s="4">
        <v>26</v>
      </c>
      <c r="J93" s="4">
        <v>15</v>
      </c>
      <c r="K93" s="4">
        <v>21</v>
      </c>
      <c r="L93" s="4">
        <v>20</v>
      </c>
      <c r="M93" s="4">
        <v>11</v>
      </c>
    </row>
    <row r="94" spans="1:13" x14ac:dyDescent="0.25">
      <c r="A94" s="43" t="s">
        <v>131</v>
      </c>
      <c r="B94" s="43">
        <v>4</v>
      </c>
      <c r="C94" s="43" t="s">
        <v>96</v>
      </c>
      <c r="D94" s="43">
        <v>22</v>
      </c>
      <c r="E94" s="3">
        <v>11</v>
      </c>
      <c r="F94" s="3">
        <v>22</v>
      </c>
      <c r="G94" s="4">
        <v>6</v>
      </c>
      <c r="H94" s="4">
        <v>1</v>
      </c>
      <c r="I94" s="4">
        <v>15</v>
      </c>
      <c r="J94" s="4">
        <v>9</v>
      </c>
      <c r="K94" s="4">
        <v>10</v>
      </c>
      <c r="L94" s="4">
        <v>6</v>
      </c>
      <c r="M94" s="4">
        <v>10</v>
      </c>
    </row>
    <row r="95" spans="1:13" x14ac:dyDescent="0.25">
      <c r="A95" s="43" t="s">
        <v>133</v>
      </c>
      <c r="B95" s="43">
        <v>5</v>
      </c>
      <c r="C95" s="43" t="s">
        <v>19</v>
      </c>
      <c r="D95" s="43">
        <v>71</v>
      </c>
      <c r="E95" s="3">
        <v>80</v>
      </c>
      <c r="F95" s="3">
        <v>105</v>
      </c>
      <c r="G95" s="4">
        <v>76</v>
      </c>
      <c r="H95" s="46">
        <v>50</v>
      </c>
      <c r="I95" s="4">
        <v>70</v>
      </c>
      <c r="J95" s="4">
        <v>31</v>
      </c>
      <c r="K95" s="4">
        <v>5</v>
      </c>
      <c r="L95" s="4">
        <v>15</v>
      </c>
      <c r="M95" s="4">
        <v>17</v>
      </c>
    </row>
    <row r="96" spans="1:13" x14ac:dyDescent="0.25">
      <c r="A96" s="43" t="s">
        <v>136</v>
      </c>
      <c r="B96" s="43">
        <v>6</v>
      </c>
      <c r="C96" s="43" t="s">
        <v>19</v>
      </c>
      <c r="D96" s="43">
        <v>92</v>
      </c>
      <c r="E96" s="3">
        <v>60</v>
      </c>
      <c r="F96" s="3">
        <v>64</v>
      </c>
      <c r="G96" s="4">
        <v>107</v>
      </c>
      <c r="H96" s="4">
        <v>124</v>
      </c>
      <c r="I96" s="4">
        <v>15</v>
      </c>
      <c r="J96" s="4">
        <v>6</v>
      </c>
      <c r="K96" s="4">
        <v>20</v>
      </c>
      <c r="L96" s="4">
        <v>77</v>
      </c>
      <c r="M96" s="46">
        <v>15</v>
      </c>
    </row>
    <row r="97" spans="1:13" x14ac:dyDescent="0.25">
      <c r="A97" s="43" t="s">
        <v>139</v>
      </c>
      <c r="B97" s="43">
        <v>7</v>
      </c>
      <c r="C97" s="43" t="s">
        <v>96</v>
      </c>
      <c r="D97" s="43">
        <v>3</v>
      </c>
      <c r="E97" s="76">
        <v>8</v>
      </c>
      <c r="F97" s="31">
        <v>12</v>
      </c>
      <c r="G97" s="77">
        <v>6</v>
      </c>
      <c r="H97" s="30">
        <v>4</v>
      </c>
      <c r="I97" s="46">
        <v>8</v>
      </c>
      <c r="J97" s="4">
        <v>7</v>
      </c>
      <c r="K97" s="4">
        <v>27</v>
      </c>
      <c r="L97" s="4">
        <v>10</v>
      </c>
      <c r="M97" s="4">
        <v>15</v>
      </c>
    </row>
    <row r="98" spans="1:13" x14ac:dyDescent="0.25">
      <c r="A98" s="43" t="s">
        <v>142</v>
      </c>
      <c r="B98" s="43">
        <v>8</v>
      </c>
      <c r="C98" s="43" t="s">
        <v>19</v>
      </c>
      <c r="D98" s="65">
        <v>51</v>
      </c>
      <c r="E98" s="76">
        <v>28</v>
      </c>
      <c r="F98" s="3">
        <v>27</v>
      </c>
      <c r="G98" s="4">
        <v>26</v>
      </c>
      <c r="H98" s="4">
        <v>9</v>
      </c>
      <c r="I98" s="4">
        <v>19</v>
      </c>
      <c r="J98" s="46">
        <v>27</v>
      </c>
      <c r="K98" s="4">
        <v>26</v>
      </c>
      <c r="L98" s="46">
        <v>32</v>
      </c>
      <c r="M98" s="46">
        <v>66</v>
      </c>
    </row>
    <row r="99" spans="1:13" x14ac:dyDescent="0.25">
      <c r="A99" s="43" t="s">
        <v>144</v>
      </c>
      <c r="B99" s="43">
        <v>9</v>
      </c>
      <c r="C99" s="43" t="s">
        <v>19</v>
      </c>
      <c r="D99" s="43">
        <v>23</v>
      </c>
      <c r="E99" s="3">
        <v>2</v>
      </c>
      <c r="F99" s="3">
        <v>23</v>
      </c>
      <c r="G99" s="4">
        <v>12</v>
      </c>
      <c r="H99" s="4">
        <v>18</v>
      </c>
      <c r="I99" s="4">
        <v>3</v>
      </c>
      <c r="J99" s="4">
        <v>5</v>
      </c>
      <c r="K99" s="4">
        <v>2</v>
      </c>
      <c r="L99" s="4">
        <v>5</v>
      </c>
      <c r="M99" s="4">
        <v>4</v>
      </c>
    </row>
    <row r="100" spans="1:13" x14ac:dyDescent="0.25">
      <c r="A100" s="43" t="s">
        <v>147</v>
      </c>
      <c r="B100" s="43">
        <v>10</v>
      </c>
      <c r="C100" s="43" t="s">
        <v>96</v>
      </c>
      <c r="D100" s="43">
        <v>19</v>
      </c>
      <c r="E100" s="3">
        <v>26</v>
      </c>
      <c r="F100" s="3">
        <v>7</v>
      </c>
      <c r="G100" s="4">
        <v>0</v>
      </c>
      <c r="H100" s="4">
        <v>6</v>
      </c>
      <c r="I100" s="4">
        <v>3</v>
      </c>
      <c r="J100" s="4">
        <v>3</v>
      </c>
      <c r="K100" s="4">
        <v>4</v>
      </c>
      <c r="L100" s="4">
        <v>13</v>
      </c>
      <c r="M100" s="4">
        <v>6</v>
      </c>
    </row>
    <row r="101" spans="1:13" ht="23.25" x14ac:dyDescent="0.25">
      <c r="A101" s="71" t="s">
        <v>148</v>
      </c>
      <c r="B101" s="43">
        <v>11</v>
      </c>
      <c r="C101" s="43" t="s">
        <v>96</v>
      </c>
      <c r="D101" s="43">
        <v>6</v>
      </c>
      <c r="E101" s="3">
        <v>24</v>
      </c>
      <c r="F101" s="3">
        <v>16</v>
      </c>
      <c r="G101" s="4">
        <v>14</v>
      </c>
      <c r="H101" s="4">
        <v>5</v>
      </c>
      <c r="I101" s="4">
        <v>3</v>
      </c>
      <c r="J101" s="4">
        <v>5</v>
      </c>
      <c r="K101" s="4">
        <v>42</v>
      </c>
      <c r="L101" s="50">
        <v>0</v>
      </c>
      <c r="M101" s="50"/>
    </row>
    <row r="102" spans="1:13" x14ac:dyDescent="0.25">
      <c r="A102" s="43" t="s">
        <v>149</v>
      </c>
      <c r="B102" s="43">
        <v>12</v>
      </c>
      <c r="C102" s="43" t="s">
        <v>96</v>
      </c>
      <c r="D102" s="43">
        <v>37</v>
      </c>
      <c r="E102" s="3">
        <v>12</v>
      </c>
      <c r="F102" s="3">
        <v>31</v>
      </c>
      <c r="G102" s="4">
        <v>14</v>
      </c>
      <c r="H102" s="4">
        <v>30</v>
      </c>
      <c r="I102" s="4">
        <v>13</v>
      </c>
      <c r="J102" s="4">
        <v>12</v>
      </c>
      <c r="K102" s="4">
        <v>22</v>
      </c>
      <c r="L102" s="4">
        <v>30</v>
      </c>
      <c r="M102" s="4">
        <v>8</v>
      </c>
    </row>
    <row r="103" spans="1:13" x14ac:dyDescent="0.25">
      <c r="A103" s="43" t="s">
        <v>150</v>
      </c>
      <c r="B103" s="43">
        <v>13</v>
      </c>
      <c r="C103" s="43" t="s">
        <v>96</v>
      </c>
      <c r="D103" s="43">
        <v>29</v>
      </c>
      <c r="E103" s="3">
        <v>4</v>
      </c>
      <c r="F103" s="3">
        <v>26</v>
      </c>
      <c r="G103" s="4">
        <v>13</v>
      </c>
      <c r="H103" s="4">
        <v>18</v>
      </c>
      <c r="I103" s="4">
        <v>1</v>
      </c>
      <c r="J103" s="4">
        <v>50</v>
      </c>
      <c r="K103" s="4">
        <v>11</v>
      </c>
      <c r="L103" s="4">
        <v>43</v>
      </c>
      <c r="M103" s="4">
        <v>9</v>
      </c>
    </row>
    <row r="104" spans="1:13" x14ac:dyDescent="0.25">
      <c r="A104" s="43" t="s">
        <v>151</v>
      </c>
      <c r="B104" s="43">
        <v>14</v>
      </c>
      <c r="C104" s="43" t="s">
        <v>19</v>
      </c>
      <c r="D104" s="43">
        <v>52</v>
      </c>
      <c r="E104" s="3">
        <v>71</v>
      </c>
      <c r="F104" s="3">
        <v>37</v>
      </c>
      <c r="G104" s="4">
        <v>50</v>
      </c>
      <c r="H104" s="46">
        <v>34</v>
      </c>
      <c r="I104" s="4">
        <v>54</v>
      </c>
      <c r="J104" s="4">
        <v>13</v>
      </c>
      <c r="K104" s="4">
        <v>14</v>
      </c>
      <c r="L104" s="4">
        <v>19</v>
      </c>
      <c r="M104" s="4">
        <v>7</v>
      </c>
    </row>
    <row r="105" spans="1:13" x14ac:dyDescent="0.25">
      <c r="A105" s="43" t="s">
        <v>152</v>
      </c>
      <c r="B105" s="43">
        <v>15</v>
      </c>
      <c r="C105" s="43" t="s">
        <v>96</v>
      </c>
      <c r="D105" s="63">
        <v>108</v>
      </c>
      <c r="E105" s="3">
        <v>8</v>
      </c>
      <c r="F105" s="3">
        <v>3</v>
      </c>
      <c r="G105" s="4">
        <v>1</v>
      </c>
      <c r="H105" s="4">
        <v>26</v>
      </c>
      <c r="I105" s="4">
        <v>38</v>
      </c>
      <c r="J105" s="4">
        <v>12</v>
      </c>
      <c r="K105" s="4">
        <v>7</v>
      </c>
      <c r="L105" s="4">
        <v>8</v>
      </c>
      <c r="M105" s="4">
        <v>7</v>
      </c>
    </row>
    <row r="106" spans="1:13" x14ac:dyDescent="0.25">
      <c r="A106" s="43" t="s">
        <v>153</v>
      </c>
      <c r="B106" s="43">
        <v>16</v>
      </c>
      <c r="C106" s="43" t="s">
        <v>96</v>
      </c>
      <c r="D106" s="43">
        <v>6</v>
      </c>
      <c r="E106" s="72">
        <v>33</v>
      </c>
      <c r="F106" s="73">
        <v>17</v>
      </c>
      <c r="G106" s="73">
        <v>11</v>
      </c>
      <c r="H106" s="4">
        <v>14</v>
      </c>
      <c r="I106" s="4">
        <v>12</v>
      </c>
      <c r="J106" s="4">
        <v>3</v>
      </c>
      <c r="K106" s="4">
        <v>7</v>
      </c>
      <c r="L106" s="4">
        <v>3</v>
      </c>
      <c r="M106" s="4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5BD4-88C7-45F1-B842-59B842A3AEB0}">
  <dimension ref="A2:AZ60"/>
  <sheetViews>
    <sheetView topLeftCell="A31" workbookViewId="0">
      <selection activeCell="D40" sqref="D40:M40"/>
    </sheetView>
  </sheetViews>
  <sheetFormatPr defaultRowHeight="15" x14ac:dyDescent="0.25"/>
  <cols>
    <col min="1" max="1" width="16.28515625" bestFit="1" customWidth="1"/>
    <col min="4" max="4" width="9.5703125" customWidth="1"/>
    <col min="5" max="5" width="9.85546875" customWidth="1"/>
    <col min="6" max="8" width="9.85546875" bestFit="1" customWidth="1"/>
    <col min="9" max="13" width="8.85546875" bestFit="1" customWidth="1"/>
    <col min="14" max="14" width="13" bestFit="1" customWidth="1"/>
    <col min="15" max="15" width="9" bestFit="1" customWidth="1"/>
    <col min="16" max="16" width="11.42578125" bestFit="1" customWidth="1"/>
    <col min="21" max="26" width="9.85546875" bestFit="1" customWidth="1"/>
    <col min="27" max="30" width="8.85546875" bestFit="1" customWidth="1"/>
    <col min="31" max="31" width="9.7109375" customWidth="1"/>
    <col min="32" max="32" width="13" bestFit="1" customWidth="1"/>
    <col min="33" max="33" width="9" bestFit="1" customWidth="1"/>
    <col min="34" max="34" width="11.42578125" bestFit="1" customWidth="1"/>
    <col min="38" max="38" width="5.85546875" bestFit="1" customWidth="1"/>
    <col min="39" max="44" width="9.85546875" bestFit="1" customWidth="1"/>
    <col min="45" max="49" width="8.85546875" bestFit="1" customWidth="1"/>
    <col min="50" max="50" width="13" bestFit="1" customWidth="1"/>
    <col min="51" max="51" width="9" bestFit="1" customWidth="1"/>
    <col min="52" max="52" width="11.42578125" bestFit="1" customWidth="1"/>
  </cols>
  <sheetData>
    <row r="2" spans="1:23" x14ac:dyDescent="0.25">
      <c r="A2" t="s">
        <v>9</v>
      </c>
      <c r="E2" t="s">
        <v>250</v>
      </c>
      <c r="S2" t="s">
        <v>9</v>
      </c>
      <c r="W2" t="s">
        <v>250</v>
      </c>
    </row>
    <row r="3" spans="1:23" x14ac:dyDescent="0.25">
      <c r="A3" t="s">
        <v>122</v>
      </c>
      <c r="B3" t="s">
        <v>123</v>
      </c>
      <c r="E3" t="s">
        <v>252</v>
      </c>
      <c r="S3" t="s">
        <v>122</v>
      </c>
      <c r="T3" t="s">
        <v>123</v>
      </c>
      <c r="W3" t="s">
        <v>252</v>
      </c>
    </row>
    <row r="4" spans="1:23" x14ac:dyDescent="0.25">
      <c r="A4" t="s">
        <v>126</v>
      </c>
      <c r="B4" t="s">
        <v>127</v>
      </c>
      <c r="E4" t="s">
        <v>232</v>
      </c>
      <c r="S4" t="s">
        <v>126</v>
      </c>
      <c r="T4" t="s">
        <v>127</v>
      </c>
      <c r="W4" t="s">
        <v>232</v>
      </c>
    </row>
    <row r="5" spans="1:23" x14ac:dyDescent="0.25">
      <c r="A5" t="s">
        <v>129</v>
      </c>
      <c r="B5" t="s">
        <v>130</v>
      </c>
      <c r="E5" t="s">
        <v>253</v>
      </c>
      <c r="S5" t="s">
        <v>129</v>
      </c>
      <c r="T5" t="s">
        <v>130</v>
      </c>
      <c r="W5" t="s">
        <v>253</v>
      </c>
    </row>
    <row r="6" spans="1:23" x14ac:dyDescent="0.25">
      <c r="A6" t="s">
        <v>132</v>
      </c>
      <c r="B6" t="s">
        <v>17</v>
      </c>
      <c r="E6" t="s">
        <v>254</v>
      </c>
      <c r="S6" t="s">
        <v>132</v>
      </c>
      <c r="T6" t="s">
        <v>17</v>
      </c>
      <c r="W6" t="s">
        <v>254</v>
      </c>
    </row>
    <row r="7" spans="1:23" x14ac:dyDescent="0.25">
      <c r="A7" t="s">
        <v>134</v>
      </c>
      <c r="B7" t="s">
        <v>135</v>
      </c>
      <c r="S7" t="s">
        <v>134</v>
      </c>
      <c r="T7" t="s">
        <v>135</v>
      </c>
    </row>
    <row r="8" spans="1:23" x14ac:dyDescent="0.25">
      <c r="A8" t="s">
        <v>137</v>
      </c>
      <c r="B8" t="s">
        <v>138</v>
      </c>
      <c r="S8" t="s">
        <v>137</v>
      </c>
      <c r="T8" t="s">
        <v>138</v>
      </c>
    </row>
    <row r="9" spans="1:23" x14ac:dyDescent="0.25">
      <c r="A9" t="s">
        <v>140</v>
      </c>
      <c r="B9" t="s">
        <v>141</v>
      </c>
      <c r="S9" t="s">
        <v>140</v>
      </c>
      <c r="T9" t="s">
        <v>141</v>
      </c>
    </row>
    <row r="10" spans="1:23" x14ac:dyDescent="0.25">
      <c r="A10" t="s">
        <v>143</v>
      </c>
      <c r="B10" t="s">
        <v>17</v>
      </c>
      <c r="S10" t="s">
        <v>143</v>
      </c>
      <c r="T10" t="s">
        <v>17</v>
      </c>
    </row>
    <row r="11" spans="1:23" x14ac:dyDescent="0.25">
      <c r="A11" t="s">
        <v>145</v>
      </c>
      <c r="B11" t="s">
        <v>146</v>
      </c>
      <c r="S11" t="s">
        <v>145</v>
      </c>
      <c r="T11" t="s">
        <v>146</v>
      </c>
    </row>
    <row r="13" spans="1:23" x14ac:dyDescent="0.25">
      <c r="A13" s="64" t="s">
        <v>234</v>
      </c>
      <c r="S13" s="64" t="s">
        <v>234</v>
      </c>
    </row>
    <row r="14" spans="1:23" x14ac:dyDescent="0.25">
      <c r="A14" s="47" t="s">
        <v>255</v>
      </c>
      <c r="S14" s="47" t="s">
        <v>255</v>
      </c>
    </row>
    <row r="15" spans="1:23" x14ac:dyDescent="0.25">
      <c r="A15" s="75" t="s">
        <v>256</v>
      </c>
      <c r="S15" s="75" t="s">
        <v>256</v>
      </c>
    </row>
    <row r="16" spans="1:23" ht="60" x14ac:dyDescent="0.25">
      <c r="A16" s="78" t="s">
        <v>257</v>
      </c>
      <c r="B16" s="29"/>
      <c r="S16" s="78" t="s">
        <v>257</v>
      </c>
      <c r="T16" s="29"/>
    </row>
    <row r="17" spans="1:52" x14ac:dyDescent="0.25">
      <c r="A17" s="49" t="s">
        <v>239</v>
      </c>
      <c r="B17" s="29"/>
      <c r="S17" s="49" t="s">
        <v>239</v>
      </c>
      <c r="T17" s="29"/>
    </row>
    <row r="22" spans="1:52" x14ac:dyDescent="0.25">
      <c r="A22" s="14" t="s">
        <v>218</v>
      </c>
      <c r="B22" s="7"/>
      <c r="C22" s="7"/>
      <c r="D22" s="14" t="s">
        <v>204</v>
      </c>
      <c r="E22" s="14" t="s">
        <v>205</v>
      </c>
      <c r="F22" s="14" t="s">
        <v>206</v>
      </c>
      <c r="G22" s="14" t="s">
        <v>207</v>
      </c>
      <c r="H22" s="14" t="s">
        <v>208</v>
      </c>
      <c r="I22" s="14" t="s">
        <v>210</v>
      </c>
      <c r="J22" s="14" t="s">
        <v>211</v>
      </c>
      <c r="K22" s="14" t="s">
        <v>212</v>
      </c>
      <c r="L22" s="14" t="s">
        <v>213</v>
      </c>
      <c r="M22" s="14" t="s">
        <v>214</v>
      </c>
      <c r="S22" s="14" t="s">
        <v>219</v>
      </c>
      <c r="T22" s="7"/>
      <c r="U22" s="7"/>
      <c r="V22" s="14" t="s">
        <v>204</v>
      </c>
      <c r="W22" s="14" t="s">
        <v>205</v>
      </c>
      <c r="X22" s="14" t="s">
        <v>206</v>
      </c>
      <c r="Y22" s="14" t="s">
        <v>207</v>
      </c>
      <c r="Z22" s="14" t="s">
        <v>208</v>
      </c>
      <c r="AA22" s="14" t="s">
        <v>210</v>
      </c>
      <c r="AB22" s="14" t="s">
        <v>211</v>
      </c>
      <c r="AC22" s="14" t="s">
        <v>212</v>
      </c>
      <c r="AD22" s="14" t="s">
        <v>213</v>
      </c>
      <c r="AE22" s="14" t="s">
        <v>214</v>
      </c>
      <c r="AK22" s="14" t="s">
        <v>220</v>
      </c>
      <c r="AL22" s="7"/>
      <c r="AM22" s="7"/>
      <c r="AN22" s="14" t="s">
        <v>204</v>
      </c>
      <c r="AO22" s="14" t="s">
        <v>205</v>
      </c>
      <c r="AP22" s="14" t="s">
        <v>206</v>
      </c>
      <c r="AQ22" s="14" t="s">
        <v>207</v>
      </c>
      <c r="AR22" s="14" t="s">
        <v>208</v>
      </c>
      <c r="AS22" s="14" t="s">
        <v>210</v>
      </c>
      <c r="AT22" s="14" t="s">
        <v>211</v>
      </c>
      <c r="AU22" s="14" t="s">
        <v>212</v>
      </c>
      <c r="AV22" s="14" t="s">
        <v>213</v>
      </c>
      <c r="AW22" s="14" t="s">
        <v>214</v>
      </c>
    </row>
    <row r="23" spans="1:52" x14ac:dyDescent="0.25">
      <c r="A23" s="7" t="s">
        <v>215</v>
      </c>
      <c r="B23" s="7" t="s">
        <v>216</v>
      </c>
      <c r="C23" s="7" t="s">
        <v>8</v>
      </c>
      <c r="D23" s="8">
        <v>44404</v>
      </c>
      <c r="E23" s="8">
        <v>44405</v>
      </c>
      <c r="F23" s="8">
        <v>44406</v>
      </c>
      <c r="G23" s="8">
        <v>44407</v>
      </c>
      <c r="H23" s="8">
        <v>44408</v>
      </c>
      <c r="I23" s="8">
        <v>44409</v>
      </c>
      <c r="J23" s="8">
        <v>44410</v>
      </c>
      <c r="K23" s="8">
        <v>44411</v>
      </c>
      <c r="L23" s="8">
        <v>44412</v>
      </c>
      <c r="M23" s="8">
        <v>44413</v>
      </c>
      <c r="N23" s="37" t="s">
        <v>221</v>
      </c>
      <c r="O23" s="37" t="s">
        <v>222</v>
      </c>
      <c r="P23" t="s">
        <v>223</v>
      </c>
      <c r="S23" s="7" t="s">
        <v>215</v>
      </c>
      <c r="T23" s="7" t="s">
        <v>216</v>
      </c>
      <c r="U23" s="7" t="s">
        <v>8</v>
      </c>
      <c r="V23" s="8">
        <v>44404</v>
      </c>
      <c r="W23" s="8">
        <v>44405</v>
      </c>
      <c r="X23" s="8">
        <v>44406</v>
      </c>
      <c r="Y23" s="8">
        <v>44407</v>
      </c>
      <c r="Z23" s="8">
        <v>44408</v>
      </c>
      <c r="AA23" s="8">
        <v>44409</v>
      </c>
      <c r="AB23" s="8">
        <v>44410</v>
      </c>
      <c r="AC23" s="8">
        <v>44411</v>
      </c>
      <c r="AD23" s="8">
        <v>44412</v>
      </c>
      <c r="AE23" s="8">
        <v>44413</v>
      </c>
      <c r="AF23" s="37" t="s">
        <v>221</v>
      </c>
      <c r="AG23" s="37" t="s">
        <v>222</v>
      </c>
      <c r="AH23" t="s">
        <v>223</v>
      </c>
      <c r="AK23" s="7" t="s">
        <v>215</v>
      </c>
      <c r="AL23" s="7" t="s">
        <v>216</v>
      </c>
      <c r="AM23" s="7" t="s">
        <v>8</v>
      </c>
      <c r="AN23" s="8">
        <v>44404</v>
      </c>
      <c r="AO23" s="8">
        <v>44405</v>
      </c>
      <c r="AP23" s="8">
        <v>44406</v>
      </c>
      <c r="AQ23" s="8">
        <v>44407</v>
      </c>
      <c r="AR23" s="8">
        <v>44408</v>
      </c>
      <c r="AS23" s="8">
        <v>44409</v>
      </c>
      <c r="AT23" s="8">
        <v>44410</v>
      </c>
      <c r="AU23" s="8">
        <v>44411</v>
      </c>
      <c r="AV23" s="8">
        <v>44412</v>
      </c>
      <c r="AW23" s="8">
        <v>44413</v>
      </c>
      <c r="AX23" s="37" t="s">
        <v>221</v>
      </c>
      <c r="AY23" s="37" t="s">
        <v>222</v>
      </c>
      <c r="AZ23" t="s">
        <v>223</v>
      </c>
    </row>
    <row r="24" spans="1:52" x14ac:dyDescent="0.25">
      <c r="A24" s="43" t="s">
        <v>147</v>
      </c>
      <c r="B24" s="43">
        <v>10</v>
      </c>
      <c r="C24" s="43" t="s">
        <v>96</v>
      </c>
      <c r="D24" s="43">
        <v>39</v>
      </c>
      <c r="E24" s="3">
        <v>44</v>
      </c>
      <c r="F24" s="3">
        <v>68</v>
      </c>
      <c r="G24" s="4">
        <v>75</v>
      </c>
      <c r="H24" s="4">
        <v>75</v>
      </c>
      <c r="I24" s="4">
        <v>71</v>
      </c>
      <c r="J24" s="4">
        <v>49</v>
      </c>
      <c r="K24" s="4">
        <v>47</v>
      </c>
      <c r="L24" s="4">
        <v>39</v>
      </c>
      <c r="M24" s="4">
        <v>44</v>
      </c>
      <c r="N24">
        <f>AVERAGE(K24:M24)</f>
        <v>43.333333333333336</v>
      </c>
      <c r="O24">
        <f>AVERAGE(D24:M24)</f>
        <v>55.1</v>
      </c>
      <c r="P24">
        <v>1</v>
      </c>
      <c r="S24" s="43" t="s">
        <v>147</v>
      </c>
      <c r="T24" s="43">
        <v>10</v>
      </c>
      <c r="U24" s="43" t="s">
        <v>96</v>
      </c>
      <c r="V24" s="43">
        <v>62</v>
      </c>
      <c r="W24" s="3">
        <v>69</v>
      </c>
      <c r="X24" s="3">
        <v>214</v>
      </c>
      <c r="Y24" s="4">
        <v>252</v>
      </c>
      <c r="Z24" s="4">
        <v>396</v>
      </c>
      <c r="AA24" s="4">
        <v>373</v>
      </c>
      <c r="AB24" s="4">
        <v>142</v>
      </c>
      <c r="AC24" s="4">
        <v>118</v>
      </c>
      <c r="AD24" s="4">
        <v>87</v>
      </c>
      <c r="AE24" s="4">
        <v>59</v>
      </c>
      <c r="AF24">
        <f>AVERAGE(AC24:AE24)</f>
        <v>88</v>
      </c>
      <c r="AG24">
        <f>AVERAGE(V24:AE24)</f>
        <v>177.2</v>
      </c>
      <c r="AH24">
        <v>1</v>
      </c>
      <c r="AK24" s="43" t="s">
        <v>147</v>
      </c>
      <c r="AL24" s="43">
        <v>10</v>
      </c>
      <c r="AM24" s="43" t="s">
        <v>96</v>
      </c>
      <c r="AN24" s="43">
        <v>19</v>
      </c>
      <c r="AO24" s="3">
        <v>26</v>
      </c>
      <c r="AP24" s="3">
        <v>7</v>
      </c>
      <c r="AQ24" s="4">
        <v>0</v>
      </c>
      <c r="AR24" s="4">
        <v>6</v>
      </c>
      <c r="AS24" s="4">
        <v>3</v>
      </c>
      <c r="AT24" s="4">
        <v>3</v>
      </c>
      <c r="AU24" s="4">
        <v>4</v>
      </c>
      <c r="AV24" s="4">
        <v>13</v>
      </c>
      <c r="AW24" s="4">
        <v>6</v>
      </c>
      <c r="AX24">
        <f>AVERAGE(AU24:AW24)</f>
        <v>7.666666666666667</v>
      </c>
      <c r="AY24">
        <f>AVERAGE(AN24:AW24)</f>
        <v>8.6999999999999993</v>
      </c>
      <c r="AZ24">
        <v>1</v>
      </c>
    </row>
    <row r="25" spans="1:52" x14ac:dyDescent="0.25">
      <c r="A25" s="43" t="s">
        <v>152</v>
      </c>
      <c r="B25" s="43">
        <v>15</v>
      </c>
      <c r="C25" s="43" t="s">
        <v>96</v>
      </c>
      <c r="D25" s="63">
        <v>75</v>
      </c>
      <c r="E25" s="3">
        <v>41</v>
      </c>
      <c r="F25" s="3">
        <v>45</v>
      </c>
      <c r="G25" s="4">
        <v>42</v>
      </c>
      <c r="H25" s="4">
        <v>46</v>
      </c>
      <c r="I25" s="4">
        <v>32</v>
      </c>
      <c r="J25" s="4">
        <v>27</v>
      </c>
      <c r="K25" s="4">
        <v>25</v>
      </c>
      <c r="L25" s="4">
        <v>52</v>
      </c>
      <c r="M25" s="4">
        <v>41</v>
      </c>
      <c r="N25">
        <f>AVERAGE(K25:M25)</f>
        <v>39.333333333333336</v>
      </c>
      <c r="O25">
        <f>AVERAGE(D25:M25)</f>
        <v>42.6</v>
      </c>
      <c r="P25">
        <v>1</v>
      </c>
      <c r="S25" s="43" t="s">
        <v>152</v>
      </c>
      <c r="T25" s="43">
        <v>15</v>
      </c>
      <c r="U25" s="43" t="s">
        <v>96</v>
      </c>
      <c r="V25" s="63">
        <v>132</v>
      </c>
      <c r="W25" s="3">
        <v>48</v>
      </c>
      <c r="X25" s="3">
        <v>81</v>
      </c>
      <c r="Y25" s="4">
        <v>66</v>
      </c>
      <c r="Z25" s="4">
        <v>98</v>
      </c>
      <c r="AA25" s="4">
        <v>54</v>
      </c>
      <c r="AB25" s="4">
        <v>43</v>
      </c>
      <c r="AC25" s="4">
        <v>35</v>
      </c>
      <c r="AD25" s="4">
        <v>81</v>
      </c>
      <c r="AE25" s="4">
        <v>61</v>
      </c>
      <c r="AF25">
        <f>AVERAGE(AC25:AE25)</f>
        <v>59</v>
      </c>
      <c r="AG25">
        <f>AVERAGE(V25:AE25)</f>
        <v>69.900000000000006</v>
      </c>
      <c r="AH25">
        <v>1</v>
      </c>
      <c r="AK25" s="43" t="s">
        <v>152</v>
      </c>
      <c r="AL25" s="43">
        <v>15</v>
      </c>
      <c r="AM25" s="43" t="s">
        <v>96</v>
      </c>
      <c r="AN25" s="63">
        <v>108</v>
      </c>
      <c r="AO25" s="3">
        <v>8</v>
      </c>
      <c r="AP25" s="3">
        <v>3</v>
      </c>
      <c r="AQ25" s="4">
        <v>1</v>
      </c>
      <c r="AR25" s="4">
        <v>26</v>
      </c>
      <c r="AS25" s="4">
        <v>38</v>
      </c>
      <c r="AT25" s="4">
        <v>12</v>
      </c>
      <c r="AU25" s="4">
        <v>7</v>
      </c>
      <c r="AV25" s="4">
        <v>8</v>
      </c>
      <c r="AW25" s="4">
        <v>7</v>
      </c>
      <c r="AX25">
        <f>AVERAGE(AU25:AW25)</f>
        <v>7.333333333333333</v>
      </c>
      <c r="AY25">
        <f>AVERAGE(AN25:AW25)</f>
        <v>21.8</v>
      </c>
      <c r="AZ25">
        <v>1</v>
      </c>
    </row>
    <row r="26" spans="1:52" x14ac:dyDescent="0.25">
      <c r="A26" s="43" t="s">
        <v>153</v>
      </c>
      <c r="B26" s="43">
        <v>16</v>
      </c>
      <c r="C26" s="43" t="s">
        <v>96</v>
      </c>
      <c r="D26" s="43">
        <v>24</v>
      </c>
      <c r="E26" s="79">
        <v>46</v>
      </c>
      <c r="F26" s="79">
        <v>26</v>
      </c>
      <c r="G26" s="82">
        <v>74</v>
      </c>
      <c r="H26" s="4">
        <v>27</v>
      </c>
      <c r="I26" s="4">
        <v>35</v>
      </c>
      <c r="J26" s="4">
        <v>29</v>
      </c>
      <c r="K26" s="4">
        <v>37</v>
      </c>
      <c r="L26" s="4">
        <v>44</v>
      </c>
      <c r="M26" s="4">
        <v>27</v>
      </c>
      <c r="N26">
        <f>AVERAGE(K26:M26)</f>
        <v>36</v>
      </c>
      <c r="O26">
        <f>AVERAGE(D26:M26)</f>
        <v>36.9</v>
      </c>
      <c r="P26">
        <v>1</v>
      </c>
      <c r="S26" s="43" t="s">
        <v>153</v>
      </c>
      <c r="T26" s="43">
        <v>16</v>
      </c>
      <c r="U26" s="43" t="s">
        <v>96</v>
      </c>
      <c r="V26" s="43">
        <v>37</v>
      </c>
      <c r="W26" s="79">
        <v>64</v>
      </c>
      <c r="X26" s="79">
        <v>34</v>
      </c>
      <c r="Y26" s="82">
        <v>87</v>
      </c>
      <c r="Z26" s="4">
        <v>48</v>
      </c>
      <c r="AA26" s="4">
        <v>58</v>
      </c>
      <c r="AB26" s="4">
        <v>46</v>
      </c>
      <c r="AC26" s="4">
        <v>64</v>
      </c>
      <c r="AD26" s="4">
        <v>64</v>
      </c>
      <c r="AE26" s="4">
        <v>40</v>
      </c>
      <c r="AF26">
        <f>AVERAGE(AC26:AE26)</f>
        <v>56</v>
      </c>
      <c r="AG26">
        <f>AVERAGE(V26:AE26)</f>
        <v>54.2</v>
      </c>
      <c r="AH26">
        <v>1</v>
      </c>
      <c r="AK26" s="43" t="s">
        <v>153</v>
      </c>
      <c r="AL26" s="43">
        <v>16</v>
      </c>
      <c r="AM26" s="43" t="s">
        <v>96</v>
      </c>
      <c r="AN26" s="43">
        <v>6</v>
      </c>
      <c r="AO26" s="79">
        <v>33</v>
      </c>
      <c r="AP26" s="79">
        <v>17</v>
      </c>
      <c r="AQ26" s="82">
        <v>11</v>
      </c>
      <c r="AR26" s="4">
        <v>14</v>
      </c>
      <c r="AS26" s="4">
        <v>12</v>
      </c>
      <c r="AT26" s="4">
        <v>3</v>
      </c>
      <c r="AU26" s="4">
        <v>7</v>
      </c>
      <c r="AV26" s="4">
        <v>3</v>
      </c>
      <c r="AW26" s="4">
        <v>4</v>
      </c>
      <c r="AX26">
        <f>AVERAGE(AU26:AW26)</f>
        <v>4.666666666666667</v>
      </c>
      <c r="AY26">
        <f>AVERAGE(AN26:AW26)</f>
        <v>11</v>
      </c>
      <c r="AZ26">
        <v>1</v>
      </c>
    </row>
    <row r="27" spans="1:52" x14ac:dyDescent="0.25">
      <c r="E27" s="7"/>
      <c r="F27" s="7"/>
      <c r="G27" s="7"/>
      <c r="H27" s="7"/>
      <c r="I27" s="7"/>
      <c r="J27" s="7"/>
      <c r="K27" s="7"/>
      <c r="L27" s="7"/>
      <c r="M27" s="53" t="s">
        <v>224</v>
      </c>
      <c r="N27">
        <f>AVERAGE(N24:N26)</f>
        <v>39.555555555555557</v>
      </c>
      <c r="O27">
        <f>AVERAGE(O24:O26)</f>
        <v>44.866666666666667</v>
      </c>
      <c r="W27" s="7"/>
      <c r="X27" s="7"/>
      <c r="Y27" s="7"/>
      <c r="Z27" s="7"/>
      <c r="AA27" s="7"/>
      <c r="AB27" s="7"/>
      <c r="AC27" s="7"/>
      <c r="AD27" s="7"/>
      <c r="AE27" s="53" t="s">
        <v>224</v>
      </c>
      <c r="AF27">
        <f>AVERAGE(AF24:AF26)</f>
        <v>67.666666666666671</v>
      </c>
      <c r="AG27">
        <f>AVERAGE(AG24:AG26)</f>
        <v>100.43333333333334</v>
      </c>
      <c r="AO27" s="7"/>
      <c r="AP27" s="7"/>
      <c r="AQ27" s="7"/>
      <c r="AR27" s="7"/>
      <c r="AS27" s="7"/>
      <c r="AT27" s="7"/>
      <c r="AU27" s="7"/>
      <c r="AV27" s="7"/>
      <c r="AW27" s="7"/>
    </row>
    <row r="31" spans="1:52" ht="23.25" x14ac:dyDescent="0.25">
      <c r="A31" s="71" t="s">
        <v>121</v>
      </c>
      <c r="B31" s="43">
        <v>1</v>
      </c>
      <c r="C31" s="43" t="s">
        <v>96</v>
      </c>
      <c r="D31" s="65">
        <v>21</v>
      </c>
      <c r="E31" s="3">
        <v>21</v>
      </c>
      <c r="F31" s="31">
        <v>18</v>
      </c>
      <c r="G31" s="46">
        <v>18</v>
      </c>
      <c r="H31" s="46">
        <v>23</v>
      </c>
      <c r="I31" s="46">
        <v>22</v>
      </c>
      <c r="J31" s="46">
        <v>18</v>
      </c>
      <c r="K31" s="46">
        <v>20</v>
      </c>
      <c r="L31" s="4">
        <v>31</v>
      </c>
      <c r="M31" s="4">
        <v>17</v>
      </c>
      <c r="N31">
        <f>AVERAGE(K31:M31)</f>
        <v>22.666666666666668</v>
      </c>
      <c r="O31">
        <f>AVERAGE(D31:M31)</f>
        <v>20.9</v>
      </c>
      <c r="P31">
        <v>30</v>
      </c>
      <c r="S31" s="71" t="s">
        <v>121</v>
      </c>
      <c r="T31" s="43">
        <v>1</v>
      </c>
      <c r="U31" s="43" t="s">
        <v>96</v>
      </c>
      <c r="V31" s="65">
        <v>37</v>
      </c>
      <c r="W31" s="3">
        <v>40</v>
      </c>
      <c r="X31" s="31">
        <v>42</v>
      </c>
      <c r="Y31" s="46">
        <v>48</v>
      </c>
      <c r="Z31" s="46">
        <v>52</v>
      </c>
      <c r="AA31" s="46">
        <v>41</v>
      </c>
      <c r="AB31" s="46">
        <v>27</v>
      </c>
      <c r="AC31" s="46">
        <v>28</v>
      </c>
      <c r="AD31" s="4">
        <v>77</v>
      </c>
      <c r="AE31" s="4">
        <v>41</v>
      </c>
      <c r="AF31">
        <f>AVERAGE(AC31:AE31)</f>
        <v>48.666666666666664</v>
      </c>
      <c r="AG31">
        <f>AVERAGE(V31:AE31)</f>
        <v>43.3</v>
      </c>
      <c r="AH31">
        <v>30</v>
      </c>
      <c r="AK31" s="71" t="s">
        <v>121</v>
      </c>
      <c r="AL31" s="43">
        <v>1</v>
      </c>
      <c r="AM31" s="43" t="s">
        <v>96</v>
      </c>
      <c r="AN31" s="65">
        <v>33</v>
      </c>
      <c r="AO31" s="3">
        <v>3</v>
      </c>
      <c r="AP31" s="3">
        <v>12</v>
      </c>
      <c r="AQ31" s="46">
        <v>6</v>
      </c>
      <c r="AR31" s="46">
        <v>2</v>
      </c>
      <c r="AS31" s="46">
        <v>8</v>
      </c>
      <c r="AT31" s="46">
        <v>10</v>
      </c>
      <c r="AU31" s="46">
        <v>1</v>
      </c>
      <c r="AV31" s="4">
        <v>7</v>
      </c>
      <c r="AW31" s="4">
        <v>4</v>
      </c>
      <c r="AX31">
        <f>AVERAGE(AU31:AW31)</f>
        <v>4</v>
      </c>
      <c r="AY31">
        <f>AVERAGE(AN31:AW31)</f>
        <v>8.6</v>
      </c>
      <c r="AZ31">
        <v>30</v>
      </c>
    </row>
    <row r="32" spans="1:52" x14ac:dyDescent="0.25">
      <c r="A32" s="43" t="s">
        <v>128</v>
      </c>
      <c r="B32" s="43">
        <v>3</v>
      </c>
      <c r="C32" s="43" t="s">
        <v>96</v>
      </c>
      <c r="D32" s="43">
        <v>36</v>
      </c>
      <c r="E32" s="3">
        <v>59</v>
      </c>
      <c r="F32" s="3">
        <v>75</v>
      </c>
      <c r="G32" s="4">
        <v>75</v>
      </c>
      <c r="H32" s="4">
        <v>73</v>
      </c>
      <c r="I32" s="4">
        <v>53</v>
      </c>
      <c r="J32" s="4">
        <v>36</v>
      </c>
      <c r="K32" s="4">
        <v>52</v>
      </c>
      <c r="L32" s="4">
        <v>49</v>
      </c>
      <c r="M32" s="4">
        <v>42</v>
      </c>
      <c r="N32">
        <f>AVERAGE(K32:M32)</f>
        <v>47.666666666666664</v>
      </c>
      <c r="O32">
        <f>AVERAGE(D32:M32)</f>
        <v>55</v>
      </c>
      <c r="P32">
        <v>30</v>
      </c>
      <c r="S32" s="43" t="s">
        <v>128</v>
      </c>
      <c r="T32" s="43">
        <v>3</v>
      </c>
      <c r="U32" s="43" t="s">
        <v>96</v>
      </c>
      <c r="V32" s="43">
        <v>51</v>
      </c>
      <c r="W32" s="3">
        <v>183</v>
      </c>
      <c r="X32" s="3">
        <v>296</v>
      </c>
      <c r="Y32" s="4">
        <v>427</v>
      </c>
      <c r="Z32" s="4">
        <v>219</v>
      </c>
      <c r="AA32" s="4">
        <v>163</v>
      </c>
      <c r="AB32" s="4">
        <v>68</v>
      </c>
      <c r="AC32" s="4">
        <v>115</v>
      </c>
      <c r="AD32" s="4">
        <v>74</v>
      </c>
      <c r="AE32" s="4">
        <v>68</v>
      </c>
      <c r="AF32">
        <f>AVERAGE(AC32:AE32)</f>
        <v>85.666666666666671</v>
      </c>
      <c r="AG32">
        <f>AVERAGE(V32:AE32)</f>
        <v>166.4</v>
      </c>
      <c r="AH32">
        <v>30</v>
      </c>
      <c r="AK32" s="43" t="s">
        <v>128</v>
      </c>
      <c r="AL32" s="43">
        <v>3</v>
      </c>
      <c r="AM32" s="43" t="s">
        <v>96</v>
      </c>
      <c r="AN32" s="43">
        <v>19</v>
      </c>
      <c r="AO32" s="3">
        <v>16</v>
      </c>
      <c r="AP32" s="3">
        <v>13</v>
      </c>
      <c r="AQ32" s="4">
        <v>3</v>
      </c>
      <c r="AR32" s="4">
        <v>7</v>
      </c>
      <c r="AS32" s="4">
        <v>26</v>
      </c>
      <c r="AT32" s="4">
        <v>15</v>
      </c>
      <c r="AU32" s="4">
        <v>21</v>
      </c>
      <c r="AV32" s="4">
        <v>20</v>
      </c>
      <c r="AW32" s="4">
        <v>11</v>
      </c>
      <c r="AX32">
        <f>AVERAGE(AU32:AW32)</f>
        <v>17.333333333333332</v>
      </c>
      <c r="AY32">
        <f>AVERAGE(AN32:AW32)</f>
        <v>15.1</v>
      </c>
      <c r="AZ32">
        <v>30</v>
      </c>
    </row>
    <row r="33" spans="1:52" x14ac:dyDescent="0.25">
      <c r="A33" s="43" t="s">
        <v>131</v>
      </c>
      <c r="B33" s="43">
        <v>4</v>
      </c>
      <c r="C33" s="43" t="s">
        <v>96</v>
      </c>
      <c r="D33" s="43">
        <v>23</v>
      </c>
      <c r="E33" s="3">
        <v>18</v>
      </c>
      <c r="F33" s="3">
        <v>18</v>
      </c>
      <c r="G33" s="4">
        <v>3</v>
      </c>
      <c r="H33" s="4">
        <v>13</v>
      </c>
      <c r="I33" s="4">
        <v>9</v>
      </c>
      <c r="J33" s="4">
        <v>8</v>
      </c>
      <c r="K33" s="4">
        <v>13</v>
      </c>
      <c r="L33" s="4">
        <v>18</v>
      </c>
      <c r="M33" s="4">
        <v>18</v>
      </c>
      <c r="N33">
        <f>AVERAGE(K33:M33)</f>
        <v>16.333333333333332</v>
      </c>
      <c r="O33">
        <f>AVERAGE(D33:M33)</f>
        <v>14.1</v>
      </c>
      <c r="P33">
        <v>30</v>
      </c>
      <c r="S33" s="43" t="s">
        <v>131</v>
      </c>
      <c r="T33" s="43">
        <v>4</v>
      </c>
      <c r="U33" s="43" t="s">
        <v>96</v>
      </c>
      <c r="V33" s="43">
        <v>34</v>
      </c>
      <c r="W33" s="3">
        <v>24</v>
      </c>
      <c r="X33" s="3">
        <v>25</v>
      </c>
      <c r="Y33" s="4">
        <v>3</v>
      </c>
      <c r="Z33" s="4">
        <v>14</v>
      </c>
      <c r="AA33" s="4">
        <v>12</v>
      </c>
      <c r="AB33" s="4">
        <v>11</v>
      </c>
      <c r="AC33" s="4">
        <v>22</v>
      </c>
      <c r="AD33" s="4">
        <v>24</v>
      </c>
      <c r="AE33" s="4">
        <v>32</v>
      </c>
      <c r="AF33">
        <f>AVERAGE(AC33:AE33)</f>
        <v>26</v>
      </c>
      <c r="AG33">
        <f>AVERAGE(V33:AE33)</f>
        <v>20.100000000000001</v>
      </c>
      <c r="AH33">
        <v>30</v>
      </c>
      <c r="AK33" s="43" t="s">
        <v>131</v>
      </c>
      <c r="AL33" s="43">
        <v>4</v>
      </c>
      <c r="AM33" s="43" t="s">
        <v>96</v>
      </c>
      <c r="AN33" s="43">
        <v>22</v>
      </c>
      <c r="AO33" s="3">
        <v>11</v>
      </c>
      <c r="AP33" s="3">
        <v>22</v>
      </c>
      <c r="AQ33" s="4">
        <v>6</v>
      </c>
      <c r="AR33" s="4">
        <v>1</v>
      </c>
      <c r="AS33" s="4">
        <v>15</v>
      </c>
      <c r="AT33" s="4">
        <v>9</v>
      </c>
      <c r="AU33" s="4">
        <v>10</v>
      </c>
      <c r="AV33" s="4">
        <v>6</v>
      </c>
      <c r="AW33" s="4">
        <v>10</v>
      </c>
      <c r="AX33">
        <f>AVERAGE(AU33:AW33)</f>
        <v>8.6666666666666661</v>
      </c>
      <c r="AY33">
        <f>AVERAGE(AN33:AW33)</f>
        <v>11.2</v>
      </c>
      <c r="AZ33">
        <v>30</v>
      </c>
    </row>
    <row r="34" spans="1:52" x14ac:dyDescent="0.25">
      <c r="A34" s="43" t="s">
        <v>149</v>
      </c>
      <c r="B34" s="43">
        <v>12</v>
      </c>
      <c r="C34" s="43" t="s">
        <v>96</v>
      </c>
      <c r="D34" s="43">
        <v>13</v>
      </c>
      <c r="E34" s="3">
        <v>34</v>
      </c>
      <c r="F34" s="3">
        <v>31</v>
      </c>
      <c r="G34" s="4">
        <v>24</v>
      </c>
      <c r="H34" s="4">
        <v>27</v>
      </c>
      <c r="I34" s="4">
        <v>29</v>
      </c>
      <c r="J34" s="4">
        <v>33</v>
      </c>
      <c r="K34" s="4">
        <v>21</v>
      </c>
      <c r="L34" s="4">
        <v>16</v>
      </c>
      <c r="M34" s="4">
        <v>14</v>
      </c>
      <c r="N34">
        <f>AVERAGE(K34:M34)</f>
        <v>17</v>
      </c>
      <c r="O34">
        <f>AVERAGE(D34:M34)</f>
        <v>24.2</v>
      </c>
      <c r="P34">
        <v>30</v>
      </c>
      <c r="S34" s="43" t="s">
        <v>149</v>
      </c>
      <c r="T34" s="43">
        <v>12</v>
      </c>
      <c r="U34" s="43" t="s">
        <v>96</v>
      </c>
      <c r="V34" s="43">
        <v>26</v>
      </c>
      <c r="W34" s="3">
        <v>70</v>
      </c>
      <c r="X34" s="3">
        <v>75</v>
      </c>
      <c r="Y34" s="4">
        <v>47</v>
      </c>
      <c r="Z34" s="4">
        <v>35</v>
      </c>
      <c r="AA34" s="4">
        <v>51</v>
      </c>
      <c r="AB34" s="4">
        <v>59</v>
      </c>
      <c r="AC34" s="4">
        <v>32</v>
      </c>
      <c r="AD34" s="4">
        <v>34</v>
      </c>
      <c r="AE34" s="4">
        <v>20</v>
      </c>
      <c r="AF34">
        <f>AVERAGE(AC34:AE34)</f>
        <v>28.666666666666668</v>
      </c>
      <c r="AG34">
        <f>AVERAGE(V34:AE34)</f>
        <v>44.9</v>
      </c>
      <c r="AH34">
        <v>30</v>
      </c>
      <c r="AK34" s="43" t="s">
        <v>149</v>
      </c>
      <c r="AL34" s="43">
        <v>12</v>
      </c>
      <c r="AM34" s="43" t="s">
        <v>96</v>
      </c>
      <c r="AN34" s="43">
        <v>37</v>
      </c>
      <c r="AO34" s="3">
        <v>12</v>
      </c>
      <c r="AP34" s="3">
        <v>31</v>
      </c>
      <c r="AQ34" s="4">
        <v>14</v>
      </c>
      <c r="AR34" s="4">
        <v>30</v>
      </c>
      <c r="AS34" s="4">
        <v>13</v>
      </c>
      <c r="AT34" s="4">
        <v>12</v>
      </c>
      <c r="AU34" s="4">
        <v>22</v>
      </c>
      <c r="AV34" s="4">
        <v>30</v>
      </c>
      <c r="AW34" s="4">
        <v>8</v>
      </c>
      <c r="AX34">
        <f>AVERAGE(AU34:AW34)</f>
        <v>20</v>
      </c>
      <c r="AY34">
        <f>AVERAGE(AN34:AW34)</f>
        <v>20.9</v>
      </c>
      <c r="AZ34">
        <v>30</v>
      </c>
    </row>
    <row r="35" spans="1:52" x14ac:dyDescent="0.25">
      <c r="A35" s="43" t="s">
        <v>150</v>
      </c>
      <c r="B35" s="43">
        <v>13</v>
      </c>
      <c r="C35" s="43" t="s">
        <v>96</v>
      </c>
      <c r="D35" s="43">
        <v>31</v>
      </c>
      <c r="E35" s="3">
        <v>48</v>
      </c>
      <c r="F35" s="3">
        <v>67</v>
      </c>
      <c r="G35" s="4">
        <v>75</v>
      </c>
      <c r="H35" s="4">
        <v>75</v>
      </c>
      <c r="I35" s="4">
        <v>75</v>
      </c>
      <c r="J35" s="4">
        <v>75</v>
      </c>
      <c r="K35" s="4">
        <v>72</v>
      </c>
      <c r="L35" s="4">
        <v>73</v>
      </c>
      <c r="M35" s="4">
        <v>56</v>
      </c>
      <c r="N35">
        <f>AVERAGE(K35:M35)</f>
        <v>67</v>
      </c>
      <c r="O35">
        <f>AVERAGE(D35:M35)</f>
        <v>64.7</v>
      </c>
      <c r="P35">
        <v>30</v>
      </c>
      <c r="S35" s="43" t="s">
        <v>150</v>
      </c>
      <c r="T35" s="43">
        <v>13</v>
      </c>
      <c r="U35" s="43" t="s">
        <v>96</v>
      </c>
      <c r="V35" s="43">
        <v>41</v>
      </c>
      <c r="W35" s="3">
        <v>60</v>
      </c>
      <c r="X35" s="3">
        <v>162</v>
      </c>
      <c r="Y35" s="4">
        <v>242</v>
      </c>
      <c r="Z35" s="4">
        <v>278</v>
      </c>
      <c r="AA35" s="4">
        <v>256</v>
      </c>
      <c r="AB35" s="4">
        <v>302</v>
      </c>
      <c r="AC35" s="4">
        <v>289</v>
      </c>
      <c r="AD35" s="4">
        <v>288</v>
      </c>
      <c r="AE35" s="4">
        <v>216</v>
      </c>
      <c r="AF35">
        <f>AVERAGE(AC35:AE35)</f>
        <v>264.33333333333331</v>
      </c>
      <c r="AG35">
        <f>AVERAGE(V35:AE35)</f>
        <v>213.4</v>
      </c>
      <c r="AH35">
        <v>30</v>
      </c>
      <c r="AK35" s="43" t="s">
        <v>150</v>
      </c>
      <c r="AL35" s="43">
        <v>13</v>
      </c>
      <c r="AM35" s="43" t="s">
        <v>96</v>
      </c>
      <c r="AN35" s="43">
        <v>29</v>
      </c>
      <c r="AO35" s="3">
        <v>4</v>
      </c>
      <c r="AP35" s="3">
        <v>26</v>
      </c>
      <c r="AQ35" s="4">
        <v>13</v>
      </c>
      <c r="AR35" s="4">
        <v>18</v>
      </c>
      <c r="AS35" s="4">
        <v>1</v>
      </c>
      <c r="AT35" s="4">
        <v>50</v>
      </c>
      <c r="AU35" s="4">
        <v>11</v>
      </c>
      <c r="AV35" s="4">
        <v>43</v>
      </c>
      <c r="AW35" s="4">
        <v>9</v>
      </c>
      <c r="AX35">
        <f>AVERAGE(AU35:AW35)</f>
        <v>21</v>
      </c>
      <c r="AY35">
        <f>AVERAGE(AN35:AW35)</f>
        <v>20.399999999999999</v>
      </c>
      <c r="AZ35">
        <v>30</v>
      </c>
    </row>
    <row r="36" spans="1:52" x14ac:dyDescent="0.25">
      <c r="E36" s="7"/>
      <c r="F36" s="7"/>
      <c r="G36" s="7"/>
      <c r="H36" s="7"/>
      <c r="I36" s="7"/>
      <c r="J36" s="7"/>
      <c r="K36" s="7"/>
      <c r="L36" s="7"/>
      <c r="M36" s="53" t="s">
        <v>224</v>
      </c>
      <c r="N36">
        <f>AVERAGE(N31:N35)</f>
        <v>34.133333333333333</v>
      </c>
      <c r="O36">
        <f>AVERAGE(O31:O35)</f>
        <v>35.78</v>
      </c>
      <c r="W36" s="7"/>
      <c r="X36" s="7"/>
      <c r="Y36" s="7"/>
      <c r="Z36" s="7"/>
      <c r="AA36" s="7"/>
      <c r="AB36" s="7"/>
      <c r="AC36" s="7"/>
      <c r="AD36" s="7"/>
      <c r="AE36" s="53" t="s">
        <v>224</v>
      </c>
      <c r="AF36">
        <f>AVERAGE(AF31:AF35)</f>
        <v>90.666666666666657</v>
      </c>
      <c r="AG36">
        <f>AVERAGE(AG31:AG35)</f>
        <v>97.62</v>
      </c>
      <c r="AO36" s="7"/>
      <c r="AP36" s="7"/>
      <c r="AQ36" s="7"/>
      <c r="AR36" s="7"/>
      <c r="AS36" s="7"/>
      <c r="AT36" s="7"/>
      <c r="AU36" s="7"/>
      <c r="AV36" s="7"/>
      <c r="AW36" s="7"/>
    </row>
    <row r="40" spans="1:52" x14ac:dyDescent="0.25">
      <c r="A40" s="43" t="s">
        <v>124</v>
      </c>
      <c r="B40" s="43">
        <v>2</v>
      </c>
      <c r="C40" s="43" t="s">
        <v>96</v>
      </c>
      <c r="D40" s="43">
        <v>27</v>
      </c>
      <c r="E40" s="80">
        <v>44</v>
      </c>
      <c r="F40" s="81">
        <v>47</v>
      </c>
      <c r="G40" s="81">
        <v>49</v>
      </c>
      <c r="H40" s="4">
        <v>41</v>
      </c>
      <c r="I40" s="4">
        <v>44</v>
      </c>
      <c r="J40" s="4">
        <v>25</v>
      </c>
      <c r="K40" s="4">
        <v>51</v>
      </c>
      <c r="L40" s="4">
        <v>31</v>
      </c>
      <c r="M40" s="4">
        <v>42</v>
      </c>
      <c r="N40">
        <f>AVERAGE(K40:M40)</f>
        <v>41.333333333333336</v>
      </c>
      <c r="O40">
        <f>AVERAGE(D40:M40)</f>
        <v>40.1</v>
      </c>
      <c r="P40" t="s">
        <v>225</v>
      </c>
      <c r="S40" s="43" t="s">
        <v>124</v>
      </c>
      <c r="T40" s="43">
        <v>2</v>
      </c>
      <c r="U40" s="43" t="s">
        <v>96</v>
      </c>
      <c r="V40" s="43">
        <v>49</v>
      </c>
      <c r="W40" s="80">
        <v>63</v>
      </c>
      <c r="X40" s="81">
        <v>85</v>
      </c>
      <c r="Y40" s="81">
        <v>109</v>
      </c>
      <c r="Z40" s="4">
        <v>55</v>
      </c>
      <c r="AA40" s="4">
        <v>66</v>
      </c>
      <c r="AB40" s="4">
        <v>26</v>
      </c>
      <c r="AC40" s="4">
        <v>81</v>
      </c>
      <c r="AD40" s="4">
        <v>41</v>
      </c>
      <c r="AE40" s="4">
        <v>69</v>
      </c>
      <c r="AF40">
        <f>AVERAGE(AC40:AE40)</f>
        <v>63.666666666666664</v>
      </c>
      <c r="AG40">
        <f>AVERAGE(V40:AE40)</f>
        <v>64.400000000000006</v>
      </c>
      <c r="AH40" t="s">
        <v>225</v>
      </c>
      <c r="AK40" s="43" t="s">
        <v>124</v>
      </c>
      <c r="AL40" s="43">
        <v>2</v>
      </c>
      <c r="AM40" s="43" t="s">
        <v>96</v>
      </c>
      <c r="AN40" s="43">
        <v>12</v>
      </c>
      <c r="AO40" s="80">
        <v>1</v>
      </c>
      <c r="AP40" s="81">
        <v>0</v>
      </c>
      <c r="AQ40" s="81">
        <v>3</v>
      </c>
      <c r="AR40" s="4">
        <v>0</v>
      </c>
      <c r="AS40" s="4">
        <v>3</v>
      </c>
      <c r="AT40" s="4">
        <v>0</v>
      </c>
      <c r="AU40" s="4">
        <v>1</v>
      </c>
      <c r="AV40" s="4">
        <v>0</v>
      </c>
      <c r="AW40" s="4">
        <v>4</v>
      </c>
      <c r="AX40">
        <f>AVERAGE(AU40:AW40)</f>
        <v>1.6666666666666667</v>
      </c>
      <c r="AY40">
        <f>AVERAGE(AN40:AW40)</f>
        <v>2.4</v>
      </c>
      <c r="AZ40" t="s">
        <v>225</v>
      </c>
    </row>
    <row r="41" spans="1:52" x14ac:dyDescent="0.25">
      <c r="E41" s="7"/>
      <c r="F41" s="7"/>
      <c r="G41" s="7"/>
      <c r="H41" s="7"/>
      <c r="I41" s="7"/>
      <c r="J41" s="7"/>
      <c r="K41" s="7"/>
      <c r="L41" s="7"/>
      <c r="M41" s="7"/>
      <c r="W41" s="7"/>
      <c r="X41" s="7"/>
      <c r="Y41" s="7"/>
      <c r="Z41" s="7"/>
      <c r="AA41" s="7"/>
      <c r="AB41" s="7"/>
      <c r="AC41" s="7"/>
      <c r="AD41" s="7"/>
      <c r="AE41" s="7"/>
      <c r="AO41" s="7"/>
      <c r="AP41" s="7"/>
      <c r="AQ41" s="7"/>
      <c r="AR41" s="7"/>
      <c r="AS41" s="7"/>
      <c r="AT41" s="7"/>
      <c r="AU41" s="7"/>
      <c r="AV41" s="7"/>
      <c r="AW41" s="7"/>
    </row>
    <row r="45" spans="1:52" x14ac:dyDescent="0.25">
      <c r="N45" s="37" t="s">
        <v>221</v>
      </c>
      <c r="O45" s="37" t="s">
        <v>222</v>
      </c>
      <c r="P45" t="s">
        <v>223</v>
      </c>
      <c r="AF45" s="37" t="s">
        <v>221</v>
      </c>
      <c r="AG45" s="37" t="s">
        <v>222</v>
      </c>
      <c r="AH45" t="s">
        <v>223</v>
      </c>
      <c r="AX45" s="37" t="s">
        <v>221</v>
      </c>
      <c r="AY45" s="37" t="s">
        <v>222</v>
      </c>
      <c r="AZ45" t="s">
        <v>223</v>
      </c>
    </row>
    <row r="46" spans="1:52" x14ac:dyDescent="0.25">
      <c r="A46" s="43" t="s">
        <v>133</v>
      </c>
      <c r="B46" s="43">
        <v>5</v>
      </c>
      <c r="C46" s="43" t="s">
        <v>19</v>
      </c>
      <c r="D46" s="43">
        <v>75</v>
      </c>
      <c r="E46" s="3">
        <v>54</v>
      </c>
      <c r="F46" s="3">
        <v>55</v>
      </c>
      <c r="G46" s="4">
        <v>74</v>
      </c>
      <c r="H46" s="46">
        <v>75</v>
      </c>
      <c r="I46" s="4">
        <v>75</v>
      </c>
      <c r="J46" s="4">
        <v>14</v>
      </c>
      <c r="K46" s="4">
        <v>7</v>
      </c>
      <c r="L46" s="4">
        <v>66</v>
      </c>
      <c r="M46" s="4">
        <v>50</v>
      </c>
      <c r="N46">
        <f>AVERAGE(K46:M46)</f>
        <v>41</v>
      </c>
      <c r="O46">
        <f>AVERAGE(D46:M46)</f>
        <v>54.5</v>
      </c>
      <c r="S46" s="43" t="s">
        <v>133</v>
      </c>
      <c r="T46" s="43">
        <v>5</v>
      </c>
      <c r="U46" s="43" t="s">
        <v>19</v>
      </c>
      <c r="V46" s="43">
        <v>129</v>
      </c>
      <c r="W46" s="3">
        <v>90</v>
      </c>
      <c r="X46" s="3">
        <v>101</v>
      </c>
      <c r="Y46" s="4">
        <v>114</v>
      </c>
      <c r="Z46" s="46">
        <v>148</v>
      </c>
      <c r="AA46" s="4">
        <v>128</v>
      </c>
      <c r="AB46" s="4">
        <v>19</v>
      </c>
      <c r="AC46" s="4">
        <v>7</v>
      </c>
      <c r="AD46" s="4">
        <v>83</v>
      </c>
      <c r="AE46" s="4">
        <v>77</v>
      </c>
      <c r="AF46">
        <f>AVERAGE(AC46:AE46)</f>
        <v>55.666666666666664</v>
      </c>
      <c r="AG46">
        <f>AVERAGE(V46:AE46)</f>
        <v>89.6</v>
      </c>
      <c r="AK46" s="43" t="s">
        <v>133</v>
      </c>
      <c r="AL46" s="43">
        <v>5</v>
      </c>
      <c r="AM46" s="43" t="s">
        <v>19</v>
      </c>
      <c r="AN46" s="43">
        <v>71</v>
      </c>
      <c r="AO46" s="3">
        <v>80</v>
      </c>
      <c r="AP46" s="3">
        <v>105</v>
      </c>
      <c r="AQ46" s="4">
        <v>76</v>
      </c>
      <c r="AR46" s="46">
        <v>50</v>
      </c>
      <c r="AS46" s="4">
        <v>70</v>
      </c>
      <c r="AT46" s="4">
        <v>31</v>
      </c>
      <c r="AU46" s="4">
        <v>5</v>
      </c>
      <c r="AV46" s="4">
        <v>15</v>
      </c>
      <c r="AW46" s="4">
        <v>17</v>
      </c>
      <c r="AX46">
        <f>AVERAGE(AU46:AW46)</f>
        <v>12.333333333333334</v>
      </c>
      <c r="AY46">
        <f>AVERAGE(AN46:AW46)</f>
        <v>52</v>
      </c>
    </row>
    <row r="47" spans="1:52" x14ac:dyDescent="0.25">
      <c r="A47" s="43" t="s">
        <v>136</v>
      </c>
      <c r="B47" s="43">
        <v>6</v>
      </c>
      <c r="C47" s="43" t="s">
        <v>19</v>
      </c>
      <c r="D47" s="43">
        <v>55</v>
      </c>
      <c r="E47" s="3">
        <v>75</v>
      </c>
      <c r="F47" s="3">
        <v>62</v>
      </c>
      <c r="G47" s="4">
        <v>53</v>
      </c>
      <c r="H47" s="4">
        <v>60</v>
      </c>
      <c r="I47" s="4">
        <v>43</v>
      </c>
      <c r="J47" s="4">
        <v>11</v>
      </c>
      <c r="K47" s="4">
        <v>27</v>
      </c>
      <c r="L47" s="4">
        <v>35</v>
      </c>
      <c r="M47" s="46">
        <v>22</v>
      </c>
      <c r="N47">
        <f t="shared" ref="N47:N50" si="0">AVERAGE(K47:M47)</f>
        <v>28</v>
      </c>
      <c r="O47">
        <f t="shared" ref="O47:O50" si="1">AVERAGE(D47:M47)</f>
        <v>44.3</v>
      </c>
      <c r="S47" s="43" t="s">
        <v>136</v>
      </c>
      <c r="T47" s="43">
        <v>6</v>
      </c>
      <c r="U47" s="43" t="s">
        <v>19</v>
      </c>
      <c r="V47" s="43">
        <v>88</v>
      </c>
      <c r="W47" s="3">
        <v>123</v>
      </c>
      <c r="X47" s="3">
        <v>88</v>
      </c>
      <c r="Y47" s="4">
        <v>88</v>
      </c>
      <c r="Z47" s="4">
        <v>95</v>
      </c>
      <c r="AA47" s="4">
        <v>58</v>
      </c>
      <c r="AB47" s="4">
        <v>14</v>
      </c>
      <c r="AC47" s="4">
        <v>32</v>
      </c>
      <c r="AD47" s="4">
        <v>41</v>
      </c>
      <c r="AE47" s="46">
        <v>31</v>
      </c>
      <c r="AF47">
        <f t="shared" ref="AF47:AF50" si="2">AVERAGE(AC47:AE47)</f>
        <v>34.666666666666664</v>
      </c>
      <c r="AG47">
        <f t="shared" ref="AG47:AG50" si="3">AVERAGE(V47:AE47)</f>
        <v>65.8</v>
      </c>
      <c r="AK47" s="43" t="s">
        <v>136</v>
      </c>
      <c r="AL47" s="43">
        <v>6</v>
      </c>
      <c r="AM47" s="43" t="s">
        <v>19</v>
      </c>
      <c r="AN47" s="43">
        <v>92</v>
      </c>
      <c r="AO47" s="3">
        <v>60</v>
      </c>
      <c r="AP47" s="3">
        <v>64</v>
      </c>
      <c r="AQ47" s="4">
        <v>107</v>
      </c>
      <c r="AR47" s="4">
        <v>124</v>
      </c>
      <c r="AS47" s="4">
        <v>15</v>
      </c>
      <c r="AT47" s="4">
        <v>6</v>
      </c>
      <c r="AU47" s="4">
        <v>20</v>
      </c>
      <c r="AV47" s="4">
        <v>77</v>
      </c>
      <c r="AW47" s="46">
        <v>15</v>
      </c>
      <c r="AX47">
        <f t="shared" ref="AX47:AX50" si="4">AVERAGE(AU47:AW47)</f>
        <v>37.333333333333336</v>
      </c>
      <c r="AY47">
        <f t="shared" ref="AY47:AY50" si="5">AVERAGE(AN47:AW47)</f>
        <v>58</v>
      </c>
    </row>
    <row r="48" spans="1:52" x14ac:dyDescent="0.25">
      <c r="A48" s="43" t="s">
        <v>142</v>
      </c>
      <c r="B48" s="43">
        <v>8</v>
      </c>
      <c r="C48" s="43" t="s">
        <v>19</v>
      </c>
      <c r="D48" s="65">
        <v>60</v>
      </c>
      <c r="E48" s="76">
        <v>74</v>
      </c>
      <c r="F48" s="3">
        <v>69</v>
      </c>
      <c r="G48" s="4">
        <v>75</v>
      </c>
      <c r="H48" s="4">
        <v>75</v>
      </c>
      <c r="I48" s="4">
        <v>75</v>
      </c>
      <c r="J48" s="46">
        <v>75</v>
      </c>
      <c r="K48" s="4">
        <v>75</v>
      </c>
      <c r="L48" s="46">
        <v>75</v>
      </c>
      <c r="M48" s="46">
        <v>59</v>
      </c>
      <c r="N48">
        <f t="shared" si="0"/>
        <v>69.666666666666671</v>
      </c>
      <c r="O48">
        <f t="shared" si="1"/>
        <v>71.2</v>
      </c>
      <c r="S48" s="43" t="s">
        <v>142</v>
      </c>
      <c r="T48" s="43">
        <v>8</v>
      </c>
      <c r="U48" s="43" t="s">
        <v>19</v>
      </c>
      <c r="V48" s="65">
        <v>156</v>
      </c>
      <c r="W48" s="76">
        <v>154</v>
      </c>
      <c r="X48" s="3">
        <v>131</v>
      </c>
      <c r="Y48" s="4">
        <v>124</v>
      </c>
      <c r="Z48" s="4">
        <v>132</v>
      </c>
      <c r="AA48" s="4">
        <v>122</v>
      </c>
      <c r="AB48" s="46">
        <v>132</v>
      </c>
      <c r="AC48" s="4">
        <v>121</v>
      </c>
      <c r="AD48" s="46">
        <v>152</v>
      </c>
      <c r="AE48" s="46">
        <v>101</v>
      </c>
      <c r="AF48">
        <f t="shared" si="2"/>
        <v>124.66666666666667</v>
      </c>
      <c r="AG48">
        <f t="shared" si="3"/>
        <v>132.5</v>
      </c>
      <c r="AK48" s="43" t="s">
        <v>142</v>
      </c>
      <c r="AL48" s="43">
        <v>8</v>
      </c>
      <c r="AM48" s="43" t="s">
        <v>19</v>
      </c>
      <c r="AN48" s="65">
        <v>51</v>
      </c>
      <c r="AO48" s="76">
        <v>28</v>
      </c>
      <c r="AP48" s="3">
        <v>27</v>
      </c>
      <c r="AQ48" s="4">
        <v>26</v>
      </c>
      <c r="AR48" s="4">
        <v>9</v>
      </c>
      <c r="AS48" s="4">
        <v>19</v>
      </c>
      <c r="AT48" s="46">
        <v>27</v>
      </c>
      <c r="AU48" s="4">
        <v>26</v>
      </c>
      <c r="AV48" s="46">
        <v>32</v>
      </c>
      <c r="AW48" s="46">
        <v>66</v>
      </c>
      <c r="AX48">
        <f t="shared" si="4"/>
        <v>41.333333333333336</v>
      </c>
      <c r="AY48">
        <f t="shared" si="5"/>
        <v>31.1</v>
      </c>
    </row>
    <row r="49" spans="1:51" x14ac:dyDescent="0.25">
      <c r="A49" s="43" t="s">
        <v>144</v>
      </c>
      <c r="B49" s="43">
        <v>9</v>
      </c>
      <c r="C49" s="43" t="s">
        <v>19</v>
      </c>
      <c r="D49" s="43">
        <v>30</v>
      </c>
      <c r="E49" s="3">
        <v>7</v>
      </c>
      <c r="F49" s="3">
        <v>35</v>
      </c>
      <c r="G49" s="4">
        <v>27</v>
      </c>
      <c r="H49" s="4">
        <v>18</v>
      </c>
      <c r="I49" s="4">
        <v>22</v>
      </c>
      <c r="J49" s="4">
        <v>14</v>
      </c>
      <c r="K49" s="4">
        <v>8</v>
      </c>
      <c r="L49" s="4">
        <v>10</v>
      </c>
      <c r="M49" s="4">
        <v>5</v>
      </c>
      <c r="N49">
        <f t="shared" si="0"/>
        <v>7.666666666666667</v>
      </c>
      <c r="O49">
        <f t="shared" si="1"/>
        <v>17.600000000000001</v>
      </c>
      <c r="S49" s="43" t="s">
        <v>144</v>
      </c>
      <c r="T49" s="43">
        <v>9</v>
      </c>
      <c r="U49" s="43" t="s">
        <v>19</v>
      </c>
      <c r="V49" s="43">
        <v>39</v>
      </c>
      <c r="W49" s="3">
        <v>7</v>
      </c>
      <c r="X49" s="3">
        <v>39</v>
      </c>
      <c r="Y49" s="4">
        <v>32</v>
      </c>
      <c r="Z49" s="4">
        <v>19</v>
      </c>
      <c r="AA49" s="4">
        <v>27</v>
      </c>
      <c r="AB49" s="4">
        <v>14</v>
      </c>
      <c r="AC49" s="4">
        <v>8</v>
      </c>
      <c r="AD49" s="4">
        <v>12</v>
      </c>
      <c r="AE49" s="4">
        <v>6</v>
      </c>
      <c r="AF49">
        <f t="shared" si="2"/>
        <v>8.6666666666666661</v>
      </c>
      <c r="AG49">
        <f t="shared" si="3"/>
        <v>20.3</v>
      </c>
      <c r="AK49" s="43" t="s">
        <v>144</v>
      </c>
      <c r="AL49" s="43">
        <v>9</v>
      </c>
      <c r="AM49" s="43" t="s">
        <v>19</v>
      </c>
      <c r="AN49" s="43">
        <v>23</v>
      </c>
      <c r="AO49" s="3">
        <v>2</v>
      </c>
      <c r="AP49" s="3">
        <v>23</v>
      </c>
      <c r="AQ49" s="4">
        <v>12</v>
      </c>
      <c r="AR49" s="4">
        <v>18</v>
      </c>
      <c r="AS49" s="4">
        <v>3</v>
      </c>
      <c r="AT49" s="4">
        <v>5</v>
      </c>
      <c r="AU49" s="4">
        <v>2</v>
      </c>
      <c r="AV49" s="4">
        <v>5</v>
      </c>
      <c r="AW49" s="4">
        <v>4</v>
      </c>
      <c r="AX49">
        <f t="shared" si="4"/>
        <v>3.6666666666666665</v>
      </c>
      <c r="AY49">
        <f t="shared" si="5"/>
        <v>9.6999999999999993</v>
      </c>
    </row>
    <row r="50" spans="1:51" x14ac:dyDescent="0.25">
      <c r="A50" s="43" t="s">
        <v>151</v>
      </c>
      <c r="B50" s="43">
        <v>14</v>
      </c>
      <c r="C50" s="43" t="s">
        <v>19</v>
      </c>
      <c r="D50" s="43">
        <v>26</v>
      </c>
      <c r="E50" s="3">
        <v>25</v>
      </c>
      <c r="F50" s="3">
        <v>24</v>
      </c>
      <c r="G50" s="4">
        <v>27</v>
      </c>
      <c r="H50" s="46">
        <v>33</v>
      </c>
      <c r="I50" s="4">
        <v>50</v>
      </c>
      <c r="J50" s="4">
        <v>31</v>
      </c>
      <c r="K50" s="4">
        <v>26</v>
      </c>
      <c r="L50" s="4">
        <v>29</v>
      </c>
      <c r="M50" s="4">
        <v>9</v>
      </c>
      <c r="N50">
        <f t="shared" si="0"/>
        <v>21.333333333333332</v>
      </c>
      <c r="O50">
        <f t="shared" si="1"/>
        <v>28</v>
      </c>
      <c r="S50" s="43" t="s">
        <v>151</v>
      </c>
      <c r="T50" s="43">
        <v>14</v>
      </c>
      <c r="U50" s="43" t="s">
        <v>19</v>
      </c>
      <c r="V50" s="43">
        <v>48</v>
      </c>
      <c r="W50" s="3">
        <v>59</v>
      </c>
      <c r="X50" s="3">
        <v>39</v>
      </c>
      <c r="Y50" s="4">
        <v>42</v>
      </c>
      <c r="Z50" s="46">
        <v>52</v>
      </c>
      <c r="AA50" s="4">
        <v>95</v>
      </c>
      <c r="AB50" s="4">
        <v>47</v>
      </c>
      <c r="AC50" s="4">
        <v>49</v>
      </c>
      <c r="AD50" s="4">
        <v>50</v>
      </c>
      <c r="AE50" s="4">
        <v>12</v>
      </c>
      <c r="AF50">
        <f t="shared" si="2"/>
        <v>37</v>
      </c>
      <c r="AG50">
        <f t="shared" si="3"/>
        <v>49.3</v>
      </c>
      <c r="AK50" s="43" t="s">
        <v>151</v>
      </c>
      <c r="AL50" s="43">
        <v>14</v>
      </c>
      <c r="AM50" s="43" t="s">
        <v>19</v>
      </c>
      <c r="AN50" s="43">
        <v>52</v>
      </c>
      <c r="AO50" s="3">
        <v>71</v>
      </c>
      <c r="AP50" s="3">
        <v>37</v>
      </c>
      <c r="AQ50" s="4">
        <v>50</v>
      </c>
      <c r="AR50" s="46">
        <v>34</v>
      </c>
      <c r="AS50" s="4">
        <v>54</v>
      </c>
      <c r="AT50" s="4">
        <v>13</v>
      </c>
      <c r="AU50" s="4">
        <v>14</v>
      </c>
      <c r="AV50" s="4">
        <v>19</v>
      </c>
      <c r="AW50" s="4">
        <v>7</v>
      </c>
      <c r="AX50">
        <f t="shared" si="4"/>
        <v>13.333333333333334</v>
      </c>
      <c r="AY50">
        <f t="shared" si="5"/>
        <v>35.1</v>
      </c>
    </row>
    <row r="51" spans="1:51" x14ac:dyDescent="0.25">
      <c r="E51" s="7"/>
      <c r="F51" s="7"/>
      <c r="G51" s="7"/>
      <c r="H51" s="7"/>
      <c r="I51" s="7"/>
      <c r="J51" s="7"/>
      <c r="K51" s="7"/>
      <c r="L51" s="7"/>
      <c r="M51" s="7" t="s">
        <v>375</v>
      </c>
      <c r="N51">
        <f>AVERAGE(N46:N50)</f>
        <v>33.533333333333339</v>
      </c>
      <c r="W51" s="7"/>
      <c r="X51" s="7"/>
      <c r="Y51" s="7"/>
      <c r="Z51" s="7"/>
      <c r="AA51" s="7"/>
      <c r="AB51" s="7"/>
      <c r="AC51" s="7"/>
      <c r="AD51" s="7"/>
      <c r="AE51" s="7" t="s">
        <v>375</v>
      </c>
      <c r="AF51">
        <f>AVERAGE(AF46:AF50)</f>
        <v>52.133333333333326</v>
      </c>
      <c r="AO51" s="7"/>
      <c r="AP51" s="7"/>
      <c r="AQ51" s="7"/>
      <c r="AR51" s="7"/>
      <c r="AS51" s="7"/>
      <c r="AT51" s="7"/>
      <c r="AU51" s="7"/>
      <c r="AV51" s="7"/>
      <c r="AW51" s="7"/>
    </row>
    <row r="56" spans="1:51" x14ac:dyDescent="0.25">
      <c r="A56" t="s">
        <v>242</v>
      </c>
    </row>
    <row r="57" spans="1:51" ht="23.25" x14ac:dyDescent="0.25">
      <c r="A57" s="71" t="s">
        <v>148</v>
      </c>
      <c r="B57" s="43">
        <v>11</v>
      </c>
      <c r="C57" s="43" t="s">
        <v>96</v>
      </c>
      <c r="D57" s="43">
        <v>23</v>
      </c>
      <c r="E57" s="3">
        <v>30</v>
      </c>
      <c r="F57" s="3">
        <v>29</v>
      </c>
      <c r="G57" s="4">
        <v>38</v>
      </c>
      <c r="H57" s="4">
        <v>36</v>
      </c>
      <c r="I57" s="4">
        <v>33</v>
      </c>
      <c r="J57" s="4">
        <v>26</v>
      </c>
      <c r="K57" s="4">
        <v>55</v>
      </c>
      <c r="L57" s="50">
        <v>2</v>
      </c>
      <c r="M57" s="50"/>
      <c r="S57" s="71" t="s">
        <v>148</v>
      </c>
      <c r="T57" s="43">
        <v>11</v>
      </c>
      <c r="U57" s="43" t="s">
        <v>96</v>
      </c>
      <c r="V57" s="43">
        <v>29</v>
      </c>
      <c r="W57" s="3">
        <v>56</v>
      </c>
      <c r="X57" s="3">
        <v>56</v>
      </c>
      <c r="Y57" s="4">
        <v>94</v>
      </c>
      <c r="Z57" s="4">
        <v>100</v>
      </c>
      <c r="AA57" s="4">
        <v>74</v>
      </c>
      <c r="AB57" s="4">
        <v>90</v>
      </c>
      <c r="AC57" s="4">
        <v>112</v>
      </c>
      <c r="AD57" s="50">
        <v>4</v>
      </c>
      <c r="AE57" s="50"/>
      <c r="AK57" s="71" t="s">
        <v>148</v>
      </c>
      <c r="AL57" s="43">
        <v>11</v>
      </c>
      <c r="AM57" s="43" t="s">
        <v>96</v>
      </c>
      <c r="AN57" s="43">
        <v>6</v>
      </c>
      <c r="AO57" s="3">
        <v>24</v>
      </c>
      <c r="AP57" s="3">
        <v>16</v>
      </c>
      <c r="AQ57" s="4">
        <v>14</v>
      </c>
      <c r="AR57" s="4">
        <v>5</v>
      </c>
      <c r="AS57" s="4">
        <v>3</v>
      </c>
      <c r="AT57" s="4">
        <v>5</v>
      </c>
      <c r="AU57" s="4">
        <v>42</v>
      </c>
      <c r="AV57" s="50">
        <v>0</v>
      </c>
      <c r="AW57" s="50"/>
    </row>
    <row r="59" spans="1:51" x14ac:dyDescent="0.25">
      <c r="A59" t="s">
        <v>258</v>
      </c>
    </row>
    <row r="60" spans="1:51" x14ac:dyDescent="0.25">
      <c r="A60" s="43" t="s">
        <v>139</v>
      </c>
      <c r="B60" s="43">
        <v>7</v>
      </c>
      <c r="C60" s="43" t="s">
        <v>96</v>
      </c>
      <c r="D60" s="43">
        <v>1</v>
      </c>
      <c r="E60" s="76">
        <v>18</v>
      </c>
      <c r="F60" s="31">
        <v>6</v>
      </c>
      <c r="G60" s="77">
        <v>14</v>
      </c>
      <c r="H60" s="30">
        <v>13</v>
      </c>
      <c r="I60" s="46">
        <v>12</v>
      </c>
      <c r="J60" s="4">
        <v>14</v>
      </c>
      <c r="K60" s="4">
        <v>16</v>
      </c>
      <c r="L60" s="4">
        <v>6</v>
      </c>
      <c r="M60" s="4">
        <v>4</v>
      </c>
      <c r="N60">
        <f>AVERAGE(K60:M60)</f>
        <v>8.6666666666666661</v>
      </c>
      <c r="O60">
        <f>AVERAGE(D60:M60)</f>
        <v>10.4</v>
      </c>
      <c r="S60" s="43" t="s">
        <v>139</v>
      </c>
      <c r="T60" s="43">
        <v>7</v>
      </c>
      <c r="U60" s="43" t="s">
        <v>96</v>
      </c>
      <c r="V60" s="43">
        <v>1</v>
      </c>
      <c r="W60" s="76">
        <v>21</v>
      </c>
      <c r="X60" s="3">
        <v>7</v>
      </c>
      <c r="Y60" s="77">
        <v>17</v>
      </c>
      <c r="Z60" s="30">
        <v>17</v>
      </c>
      <c r="AA60" s="46">
        <v>15</v>
      </c>
      <c r="AB60" s="4">
        <v>15</v>
      </c>
      <c r="AC60" s="4">
        <v>21</v>
      </c>
      <c r="AD60" s="4">
        <v>7</v>
      </c>
      <c r="AE60" s="4">
        <v>4</v>
      </c>
      <c r="AF60">
        <f>AVERAGE(AC60:AE60)</f>
        <v>10.666666666666666</v>
      </c>
      <c r="AG60">
        <f>AVERAGE(V60:AE60)</f>
        <v>12.5</v>
      </c>
      <c r="AK60" s="43" t="s">
        <v>139</v>
      </c>
      <c r="AL60" s="43">
        <v>7</v>
      </c>
      <c r="AM60" s="43" t="s">
        <v>96</v>
      </c>
      <c r="AN60" s="43">
        <v>3</v>
      </c>
      <c r="AO60" s="76">
        <v>8</v>
      </c>
      <c r="AP60" s="31">
        <v>12</v>
      </c>
      <c r="AQ60" s="77">
        <v>6</v>
      </c>
      <c r="AR60" s="30">
        <v>4</v>
      </c>
      <c r="AS60" s="46">
        <v>8</v>
      </c>
      <c r="AT60" s="4">
        <v>7</v>
      </c>
      <c r="AU60" s="4">
        <v>27</v>
      </c>
      <c r="AV60" s="4">
        <v>10</v>
      </c>
      <c r="AW60" s="4">
        <v>15</v>
      </c>
      <c r="AX60">
        <f>AVERAGE(AU60:AW60)</f>
        <v>17.333333333333332</v>
      </c>
      <c r="AY60">
        <f>AVERAGE(AN60:AW60)</f>
        <v>10</v>
      </c>
    </row>
  </sheetData>
  <sortState xmlns:xlrd2="http://schemas.microsoft.com/office/spreadsheetml/2017/richdata2" ref="AK24:AZ40">
    <sortCondition ref="AZ24:AZ40"/>
    <sortCondition ref="AL24:AL40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9203-A5CB-4EC2-856C-B3EB230A9993}">
  <dimension ref="A1:O106"/>
  <sheetViews>
    <sheetView topLeftCell="A13" workbookViewId="0">
      <selection activeCell="K41" sqref="K41"/>
    </sheetView>
  </sheetViews>
  <sheetFormatPr defaultRowHeight="15" x14ac:dyDescent="0.25"/>
  <cols>
    <col min="1" max="1" width="25.7109375" customWidth="1"/>
    <col min="2" max="2" width="9.85546875" bestFit="1" customWidth="1"/>
    <col min="5" max="5" width="9.85546875" bestFit="1" customWidth="1"/>
    <col min="6" max="6" width="9.5703125" customWidth="1"/>
  </cols>
  <sheetData>
    <row r="1" spans="1:14" x14ac:dyDescent="0.25">
      <c r="A1" t="s">
        <v>259</v>
      </c>
      <c r="L1" t="s">
        <v>260</v>
      </c>
    </row>
    <row r="2" spans="1:14" x14ac:dyDescent="0.25">
      <c r="A2" t="s">
        <v>261</v>
      </c>
      <c r="L2" t="s">
        <v>262</v>
      </c>
      <c r="N2" t="s">
        <v>263</v>
      </c>
    </row>
    <row r="3" spans="1:14" x14ac:dyDescent="0.25">
      <c r="A3" t="s">
        <v>197</v>
      </c>
      <c r="L3" t="s">
        <v>264</v>
      </c>
      <c r="N3" t="s">
        <v>265</v>
      </c>
    </row>
    <row r="4" spans="1:14" x14ac:dyDescent="0.25">
      <c r="N4" t="s">
        <v>266</v>
      </c>
    </row>
    <row r="5" spans="1:14" x14ac:dyDescent="0.25">
      <c r="N5" t="s">
        <v>267</v>
      </c>
    </row>
    <row r="6" spans="1:14" x14ac:dyDescent="0.25">
      <c r="A6" t="s">
        <v>9</v>
      </c>
      <c r="L6" t="s">
        <v>268</v>
      </c>
      <c r="N6" t="s">
        <v>269</v>
      </c>
    </row>
    <row r="7" spans="1:14" x14ac:dyDescent="0.25">
      <c r="A7" t="s">
        <v>159</v>
      </c>
      <c r="C7" t="s">
        <v>160</v>
      </c>
      <c r="N7" t="s">
        <v>270</v>
      </c>
    </row>
    <row r="8" spans="1:14" x14ac:dyDescent="0.25">
      <c r="A8" t="s">
        <v>162</v>
      </c>
      <c r="C8" t="s">
        <v>163</v>
      </c>
      <c r="N8" t="s">
        <v>271</v>
      </c>
    </row>
    <row r="9" spans="1:14" x14ac:dyDescent="0.25">
      <c r="A9" t="s">
        <v>165</v>
      </c>
      <c r="C9" t="s">
        <v>166</v>
      </c>
      <c r="L9" t="s">
        <v>272</v>
      </c>
      <c r="N9" t="s">
        <v>263</v>
      </c>
    </row>
    <row r="10" spans="1:14" x14ac:dyDescent="0.25">
      <c r="A10" t="s">
        <v>168</v>
      </c>
      <c r="C10" t="s">
        <v>169</v>
      </c>
    </row>
    <row r="11" spans="1:14" x14ac:dyDescent="0.25">
      <c r="A11" t="s">
        <v>171</v>
      </c>
      <c r="C11" t="s">
        <v>172</v>
      </c>
    </row>
    <row r="12" spans="1:14" x14ac:dyDescent="0.25">
      <c r="A12" t="s">
        <v>174</v>
      </c>
      <c r="C12" t="s">
        <v>175</v>
      </c>
    </row>
    <row r="13" spans="1:14" x14ac:dyDescent="0.25">
      <c r="A13" t="s">
        <v>177</v>
      </c>
      <c r="C13" t="s">
        <v>178</v>
      </c>
    </row>
    <row r="14" spans="1:14" x14ac:dyDescent="0.25">
      <c r="A14" t="s">
        <v>180</v>
      </c>
      <c r="C14" t="s">
        <v>181</v>
      </c>
    </row>
    <row r="15" spans="1:14" x14ac:dyDescent="0.25">
      <c r="A15" t="s">
        <v>183</v>
      </c>
      <c r="C15" t="s">
        <v>184</v>
      </c>
    </row>
    <row r="17" spans="1:15" x14ac:dyDescent="0.25">
      <c r="A17" s="115" t="s">
        <v>234</v>
      </c>
    </row>
    <row r="18" spans="1:15" ht="30" x14ac:dyDescent="0.25">
      <c r="A18" s="116" t="s">
        <v>273</v>
      </c>
    </row>
    <row r="19" spans="1:15" ht="30" x14ac:dyDescent="0.25">
      <c r="A19" s="117" t="s">
        <v>274</v>
      </c>
    </row>
    <row r="20" spans="1:15" x14ac:dyDescent="0.25">
      <c r="A20" s="78" t="s">
        <v>275</v>
      </c>
    </row>
    <row r="21" spans="1:15" x14ac:dyDescent="0.25">
      <c r="A21" s="122"/>
    </row>
    <row r="22" spans="1:15" x14ac:dyDescent="0.25">
      <c r="A22" s="7"/>
      <c r="B22" s="7"/>
      <c r="C22" s="7"/>
      <c r="D22" s="7" t="s">
        <v>201</v>
      </c>
      <c r="E22" s="28" t="s">
        <v>202</v>
      </c>
      <c r="F22" s="28" t="s">
        <v>202</v>
      </c>
      <c r="G22" s="28" t="s">
        <v>202</v>
      </c>
      <c r="H22" s="28" t="s">
        <v>202</v>
      </c>
      <c r="I22" s="28" t="s">
        <v>202</v>
      </c>
      <c r="J22" s="28" t="s">
        <v>202</v>
      </c>
      <c r="K22" s="28" t="s">
        <v>202</v>
      </c>
      <c r="L22" s="28" t="s">
        <v>202</v>
      </c>
      <c r="M22" s="28"/>
      <c r="N22" s="28" t="s">
        <v>202</v>
      </c>
    </row>
    <row r="23" spans="1:15" x14ac:dyDescent="0.25">
      <c r="A23" s="7" t="s">
        <v>203</v>
      </c>
      <c r="B23" s="7"/>
      <c r="C23" s="7"/>
      <c r="D23" s="7"/>
      <c r="E23" s="14" t="s">
        <v>204</v>
      </c>
      <c r="F23" s="14" t="s">
        <v>205</v>
      </c>
      <c r="G23" s="14" t="s">
        <v>206</v>
      </c>
      <c r="H23" s="14" t="s">
        <v>207</v>
      </c>
      <c r="I23" s="14" t="s">
        <v>208</v>
      </c>
      <c r="J23" s="14" t="s">
        <v>210</v>
      </c>
      <c r="K23" s="14" t="s">
        <v>211</v>
      </c>
      <c r="L23" s="14" t="s">
        <v>212</v>
      </c>
      <c r="M23" s="14" t="s">
        <v>209</v>
      </c>
      <c r="N23" s="14" t="s">
        <v>213</v>
      </c>
      <c r="O23" s="14" t="s">
        <v>214</v>
      </c>
    </row>
    <row r="24" spans="1:15" x14ac:dyDescent="0.25">
      <c r="A24" s="7" t="s">
        <v>215</v>
      </c>
      <c r="B24" s="7" t="s">
        <v>276</v>
      </c>
      <c r="C24" s="7" t="s">
        <v>216</v>
      </c>
      <c r="D24" s="7" t="s">
        <v>8</v>
      </c>
      <c r="E24" s="8">
        <v>44438</v>
      </c>
      <c r="F24" s="8">
        <v>44439</v>
      </c>
      <c r="G24" s="8">
        <v>44440</v>
      </c>
      <c r="H24" s="8">
        <v>44441</v>
      </c>
      <c r="I24" s="8">
        <v>44442</v>
      </c>
      <c r="J24" s="8">
        <v>44443</v>
      </c>
      <c r="K24" s="8">
        <v>44444</v>
      </c>
      <c r="L24" s="8">
        <v>44445</v>
      </c>
      <c r="M24" s="8">
        <v>44446</v>
      </c>
      <c r="N24" s="8">
        <v>44447</v>
      </c>
      <c r="O24" s="8">
        <v>44448</v>
      </c>
    </row>
    <row r="25" spans="1:15" x14ac:dyDescent="0.25">
      <c r="A25" s="96" t="s">
        <v>158</v>
      </c>
      <c r="B25" s="43" t="s">
        <v>277</v>
      </c>
      <c r="C25" s="43">
        <v>1</v>
      </c>
      <c r="D25" s="58" t="s">
        <v>19</v>
      </c>
      <c r="E25" s="58">
        <v>366</v>
      </c>
      <c r="F25" s="3"/>
      <c r="G25" s="3"/>
      <c r="H25" s="4">
        <v>385</v>
      </c>
      <c r="I25" s="4"/>
      <c r="J25" s="4"/>
      <c r="K25" s="4"/>
      <c r="L25" s="4">
        <v>385</v>
      </c>
      <c r="M25" s="95"/>
      <c r="N25" s="4"/>
      <c r="O25" s="4"/>
    </row>
    <row r="26" spans="1:15" x14ac:dyDescent="0.25">
      <c r="A26" s="96" t="s">
        <v>161</v>
      </c>
      <c r="B26" s="43" t="s">
        <v>277</v>
      </c>
      <c r="C26" s="43">
        <v>2</v>
      </c>
      <c r="D26" s="58" t="s">
        <v>19</v>
      </c>
      <c r="E26" s="58">
        <v>361</v>
      </c>
      <c r="F26" s="3"/>
      <c r="G26" s="3"/>
      <c r="H26" s="4">
        <v>379</v>
      </c>
      <c r="I26" s="4"/>
      <c r="J26" s="4"/>
      <c r="K26" s="4"/>
      <c r="L26" s="4">
        <v>384</v>
      </c>
      <c r="M26" s="95"/>
      <c r="N26" s="4"/>
      <c r="O26" s="4"/>
    </row>
    <row r="27" spans="1:15" x14ac:dyDescent="0.25">
      <c r="A27" s="97" t="s">
        <v>164</v>
      </c>
      <c r="B27" s="43" t="s">
        <v>278</v>
      </c>
      <c r="C27" s="43">
        <v>3</v>
      </c>
      <c r="D27" s="58" t="s">
        <v>96</v>
      </c>
      <c r="E27" s="58">
        <v>257</v>
      </c>
      <c r="F27" s="3"/>
      <c r="G27" s="3"/>
      <c r="H27" s="4">
        <v>266</v>
      </c>
      <c r="I27" s="4"/>
      <c r="J27" s="4"/>
      <c r="K27" s="4"/>
      <c r="L27" s="4">
        <v>264</v>
      </c>
      <c r="M27" s="95"/>
      <c r="N27" s="4"/>
      <c r="O27" s="4"/>
    </row>
    <row r="28" spans="1:15" x14ac:dyDescent="0.25">
      <c r="A28" s="97" t="s">
        <v>167</v>
      </c>
      <c r="B28" s="43" t="s">
        <v>278</v>
      </c>
      <c r="C28" s="43">
        <v>4</v>
      </c>
      <c r="D28" s="58" t="s">
        <v>96</v>
      </c>
      <c r="E28" s="58">
        <v>249</v>
      </c>
      <c r="F28" s="3"/>
      <c r="G28" s="3"/>
      <c r="H28" s="4">
        <v>253</v>
      </c>
      <c r="I28" s="4"/>
      <c r="J28" s="4"/>
      <c r="K28" s="4"/>
      <c r="L28" s="4">
        <v>266</v>
      </c>
      <c r="M28" s="95"/>
      <c r="N28" s="4"/>
      <c r="O28" s="4"/>
    </row>
    <row r="29" spans="1:15" x14ac:dyDescent="0.25">
      <c r="A29" s="97" t="s">
        <v>170</v>
      </c>
      <c r="B29" s="43" t="s">
        <v>278</v>
      </c>
      <c r="C29" s="43">
        <v>5</v>
      </c>
      <c r="D29" s="58" t="s">
        <v>96</v>
      </c>
      <c r="E29" s="58">
        <v>245</v>
      </c>
      <c r="F29" s="3"/>
      <c r="G29" s="3"/>
      <c r="H29" s="4">
        <v>263</v>
      </c>
      <c r="I29" s="4"/>
      <c r="J29" s="4"/>
      <c r="K29" s="4"/>
      <c r="L29" s="4">
        <v>278</v>
      </c>
      <c r="M29" s="95"/>
      <c r="N29" s="4"/>
      <c r="O29" s="4"/>
    </row>
    <row r="30" spans="1:15" x14ac:dyDescent="0.25">
      <c r="A30" s="97" t="s">
        <v>173</v>
      </c>
      <c r="B30" s="43" t="s">
        <v>278</v>
      </c>
      <c r="C30" s="43">
        <v>6</v>
      </c>
      <c r="D30" s="58" t="s">
        <v>19</v>
      </c>
      <c r="E30" s="58">
        <v>234</v>
      </c>
      <c r="F30" s="31"/>
      <c r="G30" s="3"/>
      <c r="H30" s="4">
        <v>265</v>
      </c>
      <c r="I30" s="4"/>
      <c r="J30" s="4"/>
      <c r="K30" s="4"/>
      <c r="L30" s="4">
        <v>246</v>
      </c>
      <c r="M30" s="95"/>
      <c r="N30" s="4"/>
      <c r="O30" s="4"/>
    </row>
    <row r="31" spans="1:15" x14ac:dyDescent="0.25">
      <c r="A31" s="97" t="s">
        <v>176</v>
      </c>
      <c r="B31" s="43" t="s">
        <v>278</v>
      </c>
      <c r="C31" s="43">
        <v>7</v>
      </c>
      <c r="D31" s="58" t="s">
        <v>96</v>
      </c>
      <c r="E31" s="58">
        <v>254</v>
      </c>
      <c r="F31" s="3"/>
      <c r="G31" s="3"/>
      <c r="H31" s="31">
        <v>258</v>
      </c>
      <c r="I31" s="31"/>
      <c r="J31" s="31"/>
      <c r="K31" s="31"/>
      <c r="L31" s="46">
        <v>286</v>
      </c>
      <c r="M31" s="95"/>
      <c r="N31" s="46"/>
      <c r="O31" s="4"/>
    </row>
    <row r="32" spans="1:15" ht="24.75" x14ac:dyDescent="0.25">
      <c r="A32" s="98" t="s">
        <v>179</v>
      </c>
      <c r="B32" s="43" t="s">
        <v>278</v>
      </c>
      <c r="C32" s="43">
        <v>8</v>
      </c>
      <c r="D32" s="58" t="s">
        <v>96</v>
      </c>
      <c r="E32" s="58">
        <v>236</v>
      </c>
      <c r="F32" s="3"/>
      <c r="G32" s="3"/>
      <c r="H32" s="4">
        <v>251</v>
      </c>
      <c r="I32" s="31"/>
      <c r="J32" s="4"/>
      <c r="K32" s="31"/>
      <c r="L32" s="46">
        <v>269</v>
      </c>
      <c r="M32" s="95"/>
      <c r="N32" s="4"/>
      <c r="O32" s="4"/>
    </row>
    <row r="33" spans="1:15" x14ac:dyDescent="0.25">
      <c r="A33" s="97" t="s">
        <v>182</v>
      </c>
      <c r="B33" s="43" t="s">
        <v>278</v>
      </c>
      <c r="C33" s="43">
        <v>9</v>
      </c>
      <c r="D33" s="58" t="s">
        <v>19</v>
      </c>
      <c r="E33" s="62">
        <v>227</v>
      </c>
      <c r="F33" s="3"/>
      <c r="G33" s="31"/>
      <c r="H33" s="31">
        <v>249</v>
      </c>
      <c r="I33" s="4"/>
      <c r="J33" s="4"/>
      <c r="K33" s="31"/>
      <c r="L33" s="4">
        <v>255</v>
      </c>
      <c r="M33" s="95"/>
      <c r="N33" s="4"/>
      <c r="O33" s="4"/>
    </row>
    <row r="34" spans="1:15" x14ac:dyDescent="0.25">
      <c r="A34" s="97" t="s">
        <v>185</v>
      </c>
      <c r="B34" s="43" t="s">
        <v>278</v>
      </c>
      <c r="C34" s="43">
        <v>10</v>
      </c>
      <c r="D34" s="58" t="s">
        <v>19</v>
      </c>
      <c r="E34" s="58">
        <v>256</v>
      </c>
      <c r="F34" s="3"/>
      <c r="G34" s="3"/>
      <c r="H34" s="4">
        <v>261</v>
      </c>
      <c r="I34" s="4"/>
      <c r="J34" s="4"/>
      <c r="K34" s="4"/>
      <c r="L34" s="4">
        <v>273</v>
      </c>
      <c r="M34" s="95"/>
      <c r="N34" s="4"/>
      <c r="O34" s="4"/>
    </row>
    <row r="35" spans="1:15" x14ac:dyDescent="0.25">
      <c r="A35" s="97" t="s">
        <v>186</v>
      </c>
      <c r="B35" s="43" t="s">
        <v>279</v>
      </c>
      <c r="C35" s="43">
        <v>11</v>
      </c>
      <c r="D35" s="58" t="s">
        <v>96</v>
      </c>
      <c r="E35" s="58">
        <v>263</v>
      </c>
      <c r="F35" s="3"/>
      <c r="G35" s="3"/>
      <c r="H35" s="3">
        <v>279</v>
      </c>
      <c r="I35" s="4"/>
      <c r="J35" s="4"/>
      <c r="K35" s="4"/>
      <c r="L35" s="4">
        <v>303</v>
      </c>
      <c r="M35" s="95"/>
      <c r="N35" s="4"/>
      <c r="O35" s="4"/>
    </row>
    <row r="36" spans="1:15" x14ac:dyDescent="0.25">
      <c r="A36" s="97" t="s">
        <v>187</v>
      </c>
      <c r="B36" s="43" t="s">
        <v>279</v>
      </c>
      <c r="C36" s="43">
        <v>12</v>
      </c>
      <c r="D36" s="58" t="s">
        <v>96</v>
      </c>
      <c r="E36" s="58">
        <v>276</v>
      </c>
      <c r="F36" s="3"/>
      <c r="G36" s="3"/>
      <c r="H36" s="3">
        <v>285</v>
      </c>
      <c r="I36" s="4"/>
      <c r="J36" s="4"/>
      <c r="K36" s="4"/>
      <c r="L36" s="4">
        <v>301</v>
      </c>
      <c r="M36" s="95"/>
      <c r="N36" s="4"/>
      <c r="O36" s="4"/>
    </row>
    <row r="37" spans="1:15" x14ac:dyDescent="0.25">
      <c r="A37" s="97" t="s">
        <v>188</v>
      </c>
      <c r="B37" s="43" t="s">
        <v>279</v>
      </c>
      <c r="C37" s="43">
        <v>13</v>
      </c>
      <c r="D37" s="58" t="s">
        <v>96</v>
      </c>
      <c r="E37" s="58">
        <v>263</v>
      </c>
      <c r="F37" s="120"/>
      <c r="G37" s="3"/>
      <c r="H37" s="3">
        <v>263</v>
      </c>
      <c r="I37" s="4"/>
      <c r="J37" s="4"/>
      <c r="K37" s="31"/>
      <c r="L37" s="4">
        <v>275</v>
      </c>
      <c r="M37" s="95"/>
      <c r="N37" s="4"/>
      <c r="O37" s="4"/>
    </row>
    <row r="38" spans="1:15" x14ac:dyDescent="0.25">
      <c r="A38" s="97" t="s">
        <v>189</v>
      </c>
      <c r="B38" s="43" t="s">
        <v>279</v>
      </c>
      <c r="C38" s="43">
        <v>14</v>
      </c>
      <c r="D38" s="58" t="s">
        <v>96</v>
      </c>
      <c r="E38" s="118">
        <v>239</v>
      </c>
      <c r="F38" s="3"/>
      <c r="G38" s="3"/>
      <c r="H38" s="3">
        <v>288</v>
      </c>
      <c r="I38" s="4"/>
      <c r="J38" s="4"/>
      <c r="K38" s="31"/>
      <c r="L38" s="4">
        <v>278</v>
      </c>
      <c r="M38" s="95"/>
      <c r="N38" s="4"/>
      <c r="O38" s="4"/>
    </row>
    <row r="39" spans="1:15" x14ac:dyDescent="0.25">
      <c r="A39" s="96" t="s">
        <v>190</v>
      </c>
      <c r="B39" s="43" t="s">
        <v>280</v>
      </c>
      <c r="C39" s="43">
        <v>15</v>
      </c>
      <c r="D39" s="58" t="s">
        <v>19</v>
      </c>
      <c r="E39" s="119">
        <v>492</v>
      </c>
      <c r="F39" s="76"/>
      <c r="G39" s="76"/>
      <c r="H39" s="76">
        <v>415</v>
      </c>
      <c r="I39" s="76"/>
      <c r="J39" s="76"/>
      <c r="K39" s="76"/>
      <c r="L39" s="76">
        <v>504</v>
      </c>
      <c r="M39" s="95"/>
      <c r="N39" s="76"/>
      <c r="O39" s="4"/>
    </row>
    <row r="40" spans="1:15" x14ac:dyDescent="0.25">
      <c r="A40" s="96" t="s">
        <v>191</v>
      </c>
      <c r="B40" s="43" t="s">
        <v>280</v>
      </c>
      <c r="C40" s="43">
        <v>16</v>
      </c>
      <c r="D40" s="58" t="s">
        <v>19</v>
      </c>
      <c r="E40" s="58">
        <v>493</v>
      </c>
      <c r="F40" s="121"/>
      <c r="G40" s="31"/>
      <c r="H40" s="3">
        <v>488</v>
      </c>
      <c r="I40" s="4"/>
      <c r="J40" s="4"/>
      <c r="K40" s="31"/>
      <c r="L40" s="46">
        <v>500</v>
      </c>
      <c r="M40" s="95"/>
      <c r="N40" s="46"/>
      <c r="O40" s="4"/>
    </row>
    <row r="44" spans="1:15" x14ac:dyDescent="0.25">
      <c r="A44" s="7"/>
      <c r="B44" s="7"/>
      <c r="C44" s="7"/>
      <c r="D44" s="7" t="s">
        <v>201</v>
      </c>
      <c r="E44" s="28" t="s">
        <v>202</v>
      </c>
      <c r="F44" s="28" t="s">
        <v>202</v>
      </c>
      <c r="G44" s="28" t="s">
        <v>202</v>
      </c>
      <c r="H44" s="28" t="s">
        <v>202</v>
      </c>
      <c r="I44" s="28" t="s">
        <v>202</v>
      </c>
      <c r="J44" s="28" t="s">
        <v>202</v>
      </c>
      <c r="K44" s="28" t="s">
        <v>202</v>
      </c>
      <c r="L44" s="28" t="s">
        <v>202</v>
      </c>
      <c r="M44" s="28"/>
      <c r="N44" s="28" t="s">
        <v>202</v>
      </c>
    </row>
    <row r="45" spans="1:15" x14ac:dyDescent="0.25">
      <c r="A45" s="7" t="s">
        <v>218</v>
      </c>
      <c r="B45" s="7"/>
      <c r="C45" s="7"/>
      <c r="D45" s="7"/>
      <c r="E45" s="14" t="s">
        <v>204</v>
      </c>
      <c r="F45" s="14" t="s">
        <v>205</v>
      </c>
      <c r="G45" s="14" t="s">
        <v>206</v>
      </c>
      <c r="H45" s="14" t="s">
        <v>207</v>
      </c>
      <c r="I45" s="14" t="s">
        <v>208</v>
      </c>
      <c r="J45" s="14" t="s">
        <v>210</v>
      </c>
      <c r="K45" s="14" t="s">
        <v>211</v>
      </c>
      <c r="L45" s="14" t="s">
        <v>212</v>
      </c>
      <c r="M45" s="14" t="s">
        <v>209</v>
      </c>
      <c r="N45" s="14" t="s">
        <v>213</v>
      </c>
      <c r="O45" s="14" t="s">
        <v>214</v>
      </c>
    </row>
    <row r="46" spans="1:15" x14ac:dyDescent="0.25">
      <c r="A46" s="7" t="s">
        <v>215</v>
      </c>
      <c r="B46" s="7" t="s">
        <v>276</v>
      </c>
      <c r="C46" s="7" t="s">
        <v>216</v>
      </c>
      <c r="D46" s="7" t="s">
        <v>8</v>
      </c>
      <c r="E46" s="8">
        <v>44438</v>
      </c>
      <c r="F46" s="8">
        <v>44439</v>
      </c>
      <c r="G46" s="8">
        <v>44440</v>
      </c>
      <c r="H46" s="8">
        <v>44441</v>
      </c>
      <c r="I46" s="8">
        <v>44442</v>
      </c>
      <c r="J46" s="8">
        <v>44443</v>
      </c>
      <c r="K46" s="8">
        <v>44444</v>
      </c>
      <c r="L46" s="8">
        <v>44445</v>
      </c>
      <c r="M46" s="8">
        <v>44446</v>
      </c>
      <c r="N46" s="8">
        <v>44447</v>
      </c>
      <c r="O46" s="8">
        <v>44448</v>
      </c>
    </row>
    <row r="47" spans="1:15" x14ac:dyDescent="0.25">
      <c r="A47" s="96" t="s">
        <v>158</v>
      </c>
      <c r="B47" s="43" t="s">
        <v>277</v>
      </c>
      <c r="C47" s="43">
        <v>1</v>
      </c>
      <c r="D47" s="58" t="s">
        <v>19</v>
      </c>
      <c r="E47" s="58">
        <v>72</v>
      </c>
      <c r="F47" s="3">
        <v>66</v>
      </c>
      <c r="G47" s="3">
        <v>44</v>
      </c>
      <c r="H47" s="4">
        <v>33</v>
      </c>
      <c r="I47" s="4">
        <v>18</v>
      </c>
      <c r="J47" s="4">
        <v>19</v>
      </c>
      <c r="K47" s="4">
        <v>3</v>
      </c>
      <c r="L47" s="4">
        <v>2</v>
      </c>
      <c r="M47" s="95"/>
      <c r="N47" s="4">
        <v>16</v>
      </c>
      <c r="O47" s="4">
        <v>40</v>
      </c>
    </row>
    <row r="48" spans="1:15" x14ac:dyDescent="0.25">
      <c r="A48" s="96" t="s">
        <v>161</v>
      </c>
      <c r="B48" s="43" t="s">
        <v>277</v>
      </c>
      <c r="C48" s="43">
        <v>2</v>
      </c>
      <c r="D48" s="58" t="s">
        <v>19</v>
      </c>
      <c r="E48" s="58">
        <v>19</v>
      </c>
      <c r="F48" s="3">
        <v>37</v>
      </c>
      <c r="G48" s="3">
        <v>40</v>
      </c>
      <c r="H48" s="4">
        <v>34</v>
      </c>
      <c r="I48" s="4">
        <v>22</v>
      </c>
      <c r="J48" s="4">
        <v>20</v>
      </c>
      <c r="K48" s="4">
        <v>18</v>
      </c>
      <c r="L48" s="4">
        <v>7</v>
      </c>
      <c r="M48" s="95"/>
      <c r="N48" s="4">
        <v>16</v>
      </c>
      <c r="O48" s="4">
        <v>15</v>
      </c>
    </row>
    <row r="49" spans="1:15" x14ac:dyDescent="0.25">
      <c r="A49" s="97" t="s">
        <v>164</v>
      </c>
      <c r="B49" s="43" t="s">
        <v>278</v>
      </c>
      <c r="C49" s="43">
        <v>3</v>
      </c>
      <c r="D49" s="58" t="s">
        <v>96</v>
      </c>
      <c r="E49" s="58">
        <v>24</v>
      </c>
      <c r="F49" s="3">
        <v>36</v>
      </c>
      <c r="G49" s="3">
        <v>26</v>
      </c>
      <c r="H49" s="4">
        <v>40</v>
      </c>
      <c r="I49" s="4">
        <v>25</v>
      </c>
      <c r="J49" s="4">
        <v>27</v>
      </c>
      <c r="K49" s="4">
        <v>22</v>
      </c>
      <c r="L49" s="4">
        <v>16</v>
      </c>
      <c r="M49" s="95"/>
      <c r="N49" s="4">
        <v>16</v>
      </c>
      <c r="O49" s="4">
        <v>13</v>
      </c>
    </row>
    <row r="50" spans="1:15" x14ac:dyDescent="0.25">
      <c r="A50" s="97" t="s">
        <v>167</v>
      </c>
      <c r="B50" s="43" t="s">
        <v>278</v>
      </c>
      <c r="C50" s="43">
        <v>4</v>
      </c>
      <c r="D50" s="58" t="s">
        <v>96</v>
      </c>
      <c r="E50" s="58">
        <v>15</v>
      </c>
      <c r="F50" s="3">
        <v>38</v>
      </c>
      <c r="G50" s="3">
        <v>49</v>
      </c>
      <c r="H50" s="4">
        <v>25</v>
      </c>
      <c r="I50" s="4">
        <v>20</v>
      </c>
      <c r="J50" s="4">
        <v>23</v>
      </c>
      <c r="K50" s="4">
        <v>22</v>
      </c>
      <c r="L50" s="4">
        <v>18</v>
      </c>
      <c r="M50" s="95"/>
      <c r="N50" s="4">
        <v>17</v>
      </c>
      <c r="O50" s="4">
        <v>17</v>
      </c>
    </row>
    <row r="51" spans="1:15" x14ac:dyDescent="0.25">
      <c r="A51" s="97" t="s">
        <v>170</v>
      </c>
      <c r="B51" s="43" t="s">
        <v>278</v>
      </c>
      <c r="C51" s="43">
        <v>5</v>
      </c>
      <c r="D51" s="58" t="s">
        <v>96</v>
      </c>
      <c r="E51" s="58">
        <v>43</v>
      </c>
      <c r="F51" s="3">
        <v>30</v>
      </c>
      <c r="G51" s="3">
        <v>57</v>
      </c>
      <c r="H51" s="4">
        <v>65</v>
      </c>
      <c r="I51" s="4">
        <v>73</v>
      </c>
      <c r="J51" s="4">
        <v>69</v>
      </c>
      <c r="K51" s="4">
        <v>59</v>
      </c>
      <c r="L51" s="4">
        <v>69</v>
      </c>
      <c r="M51" s="95"/>
      <c r="N51" s="4">
        <v>75</v>
      </c>
      <c r="O51" s="4">
        <v>75</v>
      </c>
    </row>
    <row r="52" spans="1:15" x14ac:dyDescent="0.25">
      <c r="A52" s="97" t="s">
        <v>173</v>
      </c>
      <c r="B52" s="43" t="s">
        <v>278</v>
      </c>
      <c r="C52" s="43">
        <v>6</v>
      </c>
      <c r="D52" s="58" t="s">
        <v>19</v>
      </c>
      <c r="E52" s="58">
        <v>17</v>
      </c>
      <c r="F52" s="31">
        <v>50</v>
      </c>
      <c r="G52" s="3">
        <v>37</v>
      </c>
      <c r="H52" s="4">
        <v>26</v>
      </c>
      <c r="I52" s="4">
        <v>12</v>
      </c>
      <c r="J52" s="4">
        <v>4</v>
      </c>
      <c r="K52" s="4">
        <v>10</v>
      </c>
      <c r="L52" s="4">
        <v>6</v>
      </c>
      <c r="M52" s="95"/>
      <c r="N52" s="4">
        <v>24</v>
      </c>
      <c r="O52" s="4">
        <v>36</v>
      </c>
    </row>
    <row r="53" spans="1:15" x14ac:dyDescent="0.25">
      <c r="A53" s="97" t="s">
        <v>176</v>
      </c>
      <c r="B53" s="43" t="s">
        <v>278</v>
      </c>
      <c r="C53" s="43">
        <v>7</v>
      </c>
      <c r="D53" s="58" t="s">
        <v>96</v>
      </c>
      <c r="E53" s="58">
        <v>25</v>
      </c>
      <c r="F53" s="3">
        <v>52</v>
      </c>
      <c r="G53" s="3">
        <v>75</v>
      </c>
      <c r="H53" s="31">
        <v>75</v>
      </c>
      <c r="I53" s="31">
        <v>73</v>
      </c>
      <c r="J53" s="31">
        <v>66</v>
      </c>
      <c r="K53" s="31">
        <v>65</v>
      </c>
      <c r="L53" s="46">
        <v>73</v>
      </c>
      <c r="M53" s="95"/>
      <c r="N53" s="46">
        <v>72</v>
      </c>
      <c r="O53" s="4">
        <v>63</v>
      </c>
    </row>
    <row r="54" spans="1:15" ht="24.75" x14ac:dyDescent="0.25">
      <c r="A54" s="98" t="s">
        <v>179</v>
      </c>
      <c r="B54" s="43" t="s">
        <v>278</v>
      </c>
      <c r="C54" s="43">
        <v>8</v>
      </c>
      <c r="D54" s="58" t="s">
        <v>96</v>
      </c>
      <c r="E54" s="58">
        <v>24</v>
      </c>
      <c r="F54" s="3">
        <v>39</v>
      </c>
      <c r="G54" s="3">
        <v>18</v>
      </c>
      <c r="H54" s="4">
        <v>24</v>
      </c>
      <c r="I54" s="31">
        <v>21</v>
      </c>
      <c r="J54" s="4">
        <v>16</v>
      </c>
      <c r="K54" s="31">
        <v>15</v>
      </c>
      <c r="L54" s="46">
        <v>15</v>
      </c>
      <c r="M54" s="95"/>
      <c r="N54" s="4">
        <v>27</v>
      </c>
      <c r="O54" s="4">
        <v>33</v>
      </c>
    </row>
    <row r="55" spans="1:15" x14ac:dyDescent="0.25">
      <c r="A55" s="97" t="s">
        <v>182</v>
      </c>
      <c r="B55" s="43" t="s">
        <v>278</v>
      </c>
      <c r="C55" s="43">
        <v>9</v>
      </c>
      <c r="D55" s="58" t="s">
        <v>19</v>
      </c>
      <c r="E55" s="62">
        <v>6</v>
      </c>
      <c r="F55" s="3">
        <v>8</v>
      </c>
      <c r="G55" s="31">
        <v>3</v>
      </c>
      <c r="H55" s="31">
        <v>10</v>
      </c>
      <c r="I55" s="4">
        <v>10</v>
      </c>
      <c r="J55" s="4">
        <v>10</v>
      </c>
      <c r="K55" s="31">
        <v>13</v>
      </c>
      <c r="L55" s="4">
        <v>13</v>
      </c>
      <c r="M55" s="95"/>
      <c r="N55" s="4">
        <v>31</v>
      </c>
      <c r="O55" s="4">
        <v>23</v>
      </c>
    </row>
    <row r="56" spans="1:15" x14ac:dyDescent="0.25">
      <c r="A56" s="97" t="s">
        <v>185</v>
      </c>
      <c r="B56" s="43" t="s">
        <v>278</v>
      </c>
      <c r="C56" s="43">
        <v>10</v>
      </c>
      <c r="D56" s="58" t="s">
        <v>19</v>
      </c>
      <c r="E56" s="58">
        <v>34</v>
      </c>
      <c r="F56" s="3">
        <v>33</v>
      </c>
      <c r="G56" s="3">
        <v>17</v>
      </c>
      <c r="H56" s="4">
        <v>44</v>
      </c>
      <c r="I56" s="4">
        <v>32</v>
      </c>
      <c r="J56" s="4">
        <v>20</v>
      </c>
      <c r="K56" s="4">
        <v>8</v>
      </c>
      <c r="L56" s="4">
        <v>9</v>
      </c>
      <c r="M56" s="95"/>
      <c r="N56" s="4">
        <v>46</v>
      </c>
      <c r="O56" s="4">
        <v>9</v>
      </c>
    </row>
    <row r="57" spans="1:15" x14ac:dyDescent="0.25">
      <c r="A57" s="97" t="s">
        <v>186</v>
      </c>
      <c r="B57" s="43" t="s">
        <v>279</v>
      </c>
      <c r="C57" s="43">
        <v>11</v>
      </c>
      <c r="D57" s="58" t="s">
        <v>96</v>
      </c>
      <c r="E57" s="58">
        <v>25</v>
      </c>
      <c r="F57" s="3">
        <v>23</v>
      </c>
      <c r="G57" s="3">
        <v>27</v>
      </c>
      <c r="H57" s="3">
        <v>31</v>
      </c>
      <c r="I57" s="4">
        <v>32</v>
      </c>
      <c r="J57" s="4">
        <v>24</v>
      </c>
      <c r="K57" s="4">
        <v>49</v>
      </c>
      <c r="L57" s="4">
        <v>41</v>
      </c>
      <c r="M57" s="95"/>
      <c r="N57" s="4">
        <v>57</v>
      </c>
      <c r="O57" s="4">
        <v>54</v>
      </c>
    </row>
    <row r="58" spans="1:15" x14ac:dyDescent="0.25">
      <c r="A58" s="97" t="s">
        <v>187</v>
      </c>
      <c r="B58" s="43" t="s">
        <v>279</v>
      </c>
      <c r="C58" s="43">
        <v>12</v>
      </c>
      <c r="D58" s="58" t="s">
        <v>96</v>
      </c>
      <c r="E58" s="58">
        <v>27</v>
      </c>
      <c r="F58" s="3">
        <v>30</v>
      </c>
      <c r="G58" s="3">
        <v>34</v>
      </c>
      <c r="H58" s="3">
        <v>17</v>
      </c>
      <c r="I58" s="4">
        <v>21</v>
      </c>
      <c r="J58" s="4">
        <v>27</v>
      </c>
      <c r="K58" s="4">
        <v>33</v>
      </c>
      <c r="L58" s="4">
        <v>22</v>
      </c>
      <c r="M58" s="95"/>
      <c r="N58" s="4">
        <v>27</v>
      </c>
      <c r="O58" s="4">
        <v>17</v>
      </c>
    </row>
    <row r="59" spans="1:15" x14ac:dyDescent="0.25">
      <c r="A59" s="97" t="s">
        <v>188</v>
      </c>
      <c r="B59" s="43" t="s">
        <v>279</v>
      </c>
      <c r="C59" s="43">
        <v>13</v>
      </c>
      <c r="D59" s="58" t="s">
        <v>96</v>
      </c>
      <c r="E59" s="58">
        <v>44</v>
      </c>
      <c r="F59" s="120">
        <v>33</v>
      </c>
      <c r="G59" s="3">
        <v>39</v>
      </c>
      <c r="H59" s="3">
        <v>52</v>
      </c>
      <c r="I59" s="4">
        <v>28</v>
      </c>
      <c r="J59" s="4">
        <v>20</v>
      </c>
      <c r="K59" s="31">
        <v>13</v>
      </c>
      <c r="L59" s="4">
        <v>15</v>
      </c>
      <c r="M59" s="95"/>
      <c r="N59" s="4">
        <v>10</v>
      </c>
      <c r="O59" s="4">
        <v>9</v>
      </c>
    </row>
    <row r="60" spans="1:15" x14ac:dyDescent="0.25">
      <c r="A60" s="97" t="s">
        <v>189</v>
      </c>
      <c r="B60" s="43" t="s">
        <v>279</v>
      </c>
      <c r="C60" s="43">
        <v>14</v>
      </c>
      <c r="D60" s="58" t="s">
        <v>96</v>
      </c>
      <c r="E60" s="118">
        <v>11</v>
      </c>
      <c r="F60" s="3">
        <v>18</v>
      </c>
      <c r="G60" s="3">
        <v>44</v>
      </c>
      <c r="H60" s="3">
        <v>50</v>
      </c>
      <c r="I60" s="4">
        <v>69</v>
      </c>
      <c r="J60" s="4">
        <v>59</v>
      </c>
      <c r="K60" s="31">
        <v>50</v>
      </c>
      <c r="L60" s="4">
        <v>38</v>
      </c>
      <c r="M60" s="95"/>
      <c r="N60" s="4">
        <v>86</v>
      </c>
      <c r="O60" s="4">
        <v>51</v>
      </c>
    </row>
    <row r="61" spans="1:15" x14ac:dyDescent="0.25">
      <c r="A61" s="96" t="s">
        <v>190</v>
      </c>
      <c r="B61" s="43" t="s">
        <v>280</v>
      </c>
      <c r="C61" s="43">
        <v>15</v>
      </c>
      <c r="D61" s="58" t="s">
        <v>19</v>
      </c>
      <c r="E61" s="119">
        <v>22</v>
      </c>
      <c r="F61" s="76">
        <v>25</v>
      </c>
      <c r="G61" s="76">
        <v>39</v>
      </c>
      <c r="H61" s="76">
        <v>27</v>
      </c>
      <c r="I61" s="76">
        <v>44</v>
      </c>
      <c r="J61" s="76">
        <v>47</v>
      </c>
      <c r="K61" s="76">
        <v>0</v>
      </c>
      <c r="L61" s="4">
        <v>30</v>
      </c>
      <c r="M61" s="95"/>
      <c r="N61" s="76">
        <v>42</v>
      </c>
      <c r="O61" s="4">
        <v>24</v>
      </c>
    </row>
    <row r="62" spans="1:15" x14ac:dyDescent="0.25">
      <c r="A62" s="96" t="s">
        <v>191</v>
      </c>
      <c r="B62" s="43" t="s">
        <v>280</v>
      </c>
      <c r="C62" s="43">
        <v>16</v>
      </c>
      <c r="D62" s="58" t="s">
        <v>19</v>
      </c>
      <c r="E62" s="58">
        <v>11</v>
      </c>
      <c r="F62" s="121">
        <v>13</v>
      </c>
      <c r="G62" s="31">
        <v>13</v>
      </c>
      <c r="H62" s="3">
        <v>17</v>
      </c>
      <c r="I62" s="4">
        <v>19</v>
      </c>
      <c r="J62" s="4">
        <v>35</v>
      </c>
      <c r="K62" s="31">
        <v>38</v>
      </c>
      <c r="L62" s="46">
        <v>28</v>
      </c>
      <c r="M62" s="95"/>
      <c r="N62" s="46">
        <v>39</v>
      </c>
      <c r="O62" s="4">
        <v>28</v>
      </c>
    </row>
    <row r="66" spans="1:15" x14ac:dyDescent="0.25">
      <c r="A66" s="7"/>
      <c r="B66" s="7"/>
      <c r="C66" s="7"/>
      <c r="D66" s="7" t="s">
        <v>201</v>
      </c>
      <c r="E66" s="28" t="s">
        <v>202</v>
      </c>
      <c r="F66" s="28" t="s">
        <v>202</v>
      </c>
      <c r="G66" s="28" t="s">
        <v>202</v>
      </c>
      <c r="H66" s="28" t="s">
        <v>202</v>
      </c>
      <c r="I66" s="28" t="s">
        <v>202</v>
      </c>
      <c r="J66" s="28" t="s">
        <v>202</v>
      </c>
      <c r="K66" s="28" t="s">
        <v>202</v>
      </c>
      <c r="L66" s="28" t="s">
        <v>202</v>
      </c>
      <c r="M66" s="28"/>
      <c r="N66" s="28" t="s">
        <v>202</v>
      </c>
    </row>
    <row r="67" spans="1:15" x14ac:dyDescent="0.25">
      <c r="A67" s="7" t="s">
        <v>281</v>
      </c>
      <c r="B67" s="7"/>
      <c r="C67" s="7"/>
      <c r="D67" s="7"/>
      <c r="E67" s="14" t="s">
        <v>204</v>
      </c>
      <c r="F67" s="14" t="s">
        <v>205</v>
      </c>
      <c r="G67" s="14" t="s">
        <v>206</v>
      </c>
      <c r="H67" s="14" t="s">
        <v>207</v>
      </c>
      <c r="I67" s="14" t="s">
        <v>208</v>
      </c>
      <c r="J67" s="14" t="s">
        <v>210</v>
      </c>
      <c r="K67" s="14" t="s">
        <v>211</v>
      </c>
      <c r="L67" s="14" t="s">
        <v>212</v>
      </c>
      <c r="M67" s="14" t="s">
        <v>209</v>
      </c>
      <c r="N67" s="14" t="s">
        <v>213</v>
      </c>
      <c r="O67" s="14" t="s">
        <v>214</v>
      </c>
    </row>
    <row r="68" spans="1:15" x14ac:dyDescent="0.25">
      <c r="A68" s="7" t="s">
        <v>215</v>
      </c>
      <c r="B68" s="7" t="s">
        <v>276</v>
      </c>
      <c r="C68" s="7" t="s">
        <v>216</v>
      </c>
      <c r="D68" s="7" t="s">
        <v>8</v>
      </c>
      <c r="E68" s="8">
        <v>44438</v>
      </c>
      <c r="F68" s="8">
        <v>44439</v>
      </c>
      <c r="G68" s="8">
        <v>44440</v>
      </c>
      <c r="H68" s="8">
        <v>44441</v>
      </c>
      <c r="I68" s="8">
        <v>44442</v>
      </c>
      <c r="J68" s="8">
        <v>44443</v>
      </c>
      <c r="K68" s="8">
        <v>44444</v>
      </c>
      <c r="L68" s="8">
        <v>44445</v>
      </c>
      <c r="M68" s="8">
        <v>44446</v>
      </c>
      <c r="N68" s="8">
        <v>44447</v>
      </c>
      <c r="O68" s="8">
        <v>44448</v>
      </c>
    </row>
    <row r="69" spans="1:15" x14ac:dyDescent="0.25">
      <c r="A69" s="96" t="s">
        <v>158</v>
      </c>
      <c r="B69" s="43" t="s">
        <v>277</v>
      </c>
      <c r="C69" s="43">
        <v>1</v>
      </c>
      <c r="D69" s="58" t="s">
        <v>19</v>
      </c>
      <c r="E69" s="58">
        <v>126</v>
      </c>
      <c r="F69" s="3">
        <v>131</v>
      </c>
      <c r="G69" s="3">
        <v>87</v>
      </c>
      <c r="H69" s="4">
        <v>58</v>
      </c>
      <c r="I69" s="4">
        <v>32</v>
      </c>
      <c r="J69" s="4">
        <v>39</v>
      </c>
      <c r="K69" s="4">
        <v>3</v>
      </c>
      <c r="L69" s="4">
        <v>2</v>
      </c>
      <c r="M69" s="95"/>
      <c r="N69" s="4">
        <v>25</v>
      </c>
      <c r="O69" s="4">
        <v>74</v>
      </c>
    </row>
    <row r="70" spans="1:15" x14ac:dyDescent="0.25">
      <c r="A70" s="96" t="s">
        <v>161</v>
      </c>
      <c r="B70" s="43" t="s">
        <v>277</v>
      </c>
      <c r="C70" s="43">
        <v>2</v>
      </c>
      <c r="D70" s="58" t="s">
        <v>19</v>
      </c>
      <c r="E70" s="58">
        <v>32</v>
      </c>
      <c r="F70" s="3">
        <v>59</v>
      </c>
      <c r="G70" s="3">
        <v>46</v>
      </c>
      <c r="H70" s="4">
        <v>44</v>
      </c>
      <c r="I70" s="4">
        <v>28</v>
      </c>
      <c r="J70" s="4">
        <v>26</v>
      </c>
      <c r="K70" s="4">
        <v>23</v>
      </c>
      <c r="L70" s="4">
        <v>8</v>
      </c>
      <c r="M70" s="95"/>
      <c r="N70" s="4">
        <v>25</v>
      </c>
      <c r="O70" s="4">
        <v>17</v>
      </c>
    </row>
    <row r="71" spans="1:15" x14ac:dyDescent="0.25">
      <c r="A71" s="97" t="s">
        <v>164</v>
      </c>
      <c r="B71" s="43" t="s">
        <v>278</v>
      </c>
      <c r="C71" s="43">
        <v>3</v>
      </c>
      <c r="D71" s="58" t="s">
        <v>96</v>
      </c>
      <c r="E71" s="58">
        <v>42</v>
      </c>
      <c r="F71" s="3">
        <v>54</v>
      </c>
      <c r="G71" s="3">
        <v>31</v>
      </c>
      <c r="H71" s="4">
        <v>52</v>
      </c>
      <c r="I71" s="4">
        <v>34</v>
      </c>
      <c r="J71" s="4">
        <v>41</v>
      </c>
      <c r="K71" s="4">
        <v>32</v>
      </c>
      <c r="L71" s="4">
        <v>20</v>
      </c>
      <c r="M71" s="95"/>
      <c r="N71" s="4">
        <v>25</v>
      </c>
      <c r="O71" s="4">
        <v>17</v>
      </c>
    </row>
    <row r="72" spans="1:15" x14ac:dyDescent="0.25">
      <c r="A72" s="97" t="s">
        <v>167</v>
      </c>
      <c r="B72" s="43" t="s">
        <v>278</v>
      </c>
      <c r="C72" s="43">
        <v>4</v>
      </c>
      <c r="D72" s="58" t="s">
        <v>96</v>
      </c>
      <c r="E72" s="58">
        <v>24</v>
      </c>
      <c r="F72" s="3">
        <v>65</v>
      </c>
      <c r="G72" s="3">
        <v>74</v>
      </c>
      <c r="H72" s="4">
        <v>70</v>
      </c>
      <c r="I72" s="4">
        <v>33</v>
      </c>
      <c r="J72" s="4">
        <v>42</v>
      </c>
      <c r="K72" s="4">
        <v>30</v>
      </c>
      <c r="L72" s="4">
        <v>35</v>
      </c>
      <c r="M72" s="95"/>
      <c r="N72" s="4">
        <v>26</v>
      </c>
      <c r="O72" s="4">
        <v>27</v>
      </c>
    </row>
    <row r="73" spans="1:15" x14ac:dyDescent="0.25">
      <c r="A73" s="97" t="s">
        <v>170</v>
      </c>
      <c r="B73" s="43" t="s">
        <v>278</v>
      </c>
      <c r="C73" s="43">
        <v>5</v>
      </c>
      <c r="D73" s="58" t="s">
        <v>96</v>
      </c>
      <c r="E73" s="58">
        <v>105</v>
      </c>
      <c r="F73" s="3">
        <v>42</v>
      </c>
      <c r="G73" s="3">
        <v>123</v>
      </c>
      <c r="H73" s="4">
        <v>163</v>
      </c>
      <c r="I73" s="4">
        <v>225</v>
      </c>
      <c r="J73" s="4">
        <v>197</v>
      </c>
      <c r="K73" s="4">
        <v>163</v>
      </c>
      <c r="L73" s="4">
        <v>275</v>
      </c>
      <c r="M73" s="95"/>
      <c r="N73" s="4">
        <v>225</v>
      </c>
      <c r="O73" s="4">
        <v>336</v>
      </c>
    </row>
    <row r="74" spans="1:15" x14ac:dyDescent="0.25">
      <c r="A74" s="97" t="s">
        <v>173</v>
      </c>
      <c r="B74" s="43" t="s">
        <v>278</v>
      </c>
      <c r="C74" s="43">
        <v>6</v>
      </c>
      <c r="D74" s="58" t="s">
        <v>19</v>
      </c>
      <c r="E74" s="58">
        <v>30</v>
      </c>
      <c r="F74" s="31">
        <v>72</v>
      </c>
      <c r="G74" s="3">
        <v>58</v>
      </c>
      <c r="H74" s="4">
        <v>44</v>
      </c>
      <c r="I74" s="4">
        <v>15</v>
      </c>
      <c r="J74" s="4">
        <v>5</v>
      </c>
      <c r="K74" s="4">
        <v>10</v>
      </c>
      <c r="L74" s="4">
        <v>7</v>
      </c>
      <c r="M74" s="95"/>
      <c r="N74" s="4">
        <v>38</v>
      </c>
      <c r="O74" s="4">
        <v>65</v>
      </c>
    </row>
    <row r="75" spans="1:15" x14ac:dyDescent="0.25">
      <c r="A75" s="97" t="s">
        <v>176</v>
      </c>
      <c r="B75" s="43" t="s">
        <v>278</v>
      </c>
      <c r="C75" s="43">
        <v>7</v>
      </c>
      <c r="D75" s="58" t="s">
        <v>96</v>
      </c>
      <c r="E75" s="58">
        <v>44</v>
      </c>
      <c r="F75" s="3">
        <v>107</v>
      </c>
      <c r="G75" s="3">
        <v>148</v>
      </c>
      <c r="H75" s="31">
        <v>154</v>
      </c>
      <c r="I75" s="31">
        <v>188</v>
      </c>
      <c r="J75" s="31">
        <v>139</v>
      </c>
      <c r="K75" s="31">
        <v>181</v>
      </c>
      <c r="L75" s="46">
        <v>166</v>
      </c>
      <c r="M75" s="95"/>
      <c r="N75" s="46">
        <v>150</v>
      </c>
      <c r="O75" s="4">
        <v>147</v>
      </c>
    </row>
    <row r="76" spans="1:15" ht="24.75" x14ac:dyDescent="0.25">
      <c r="A76" s="98" t="s">
        <v>179</v>
      </c>
      <c r="B76" s="43" t="s">
        <v>278</v>
      </c>
      <c r="C76" s="43">
        <v>8</v>
      </c>
      <c r="D76" s="58" t="s">
        <v>96</v>
      </c>
      <c r="E76" s="58">
        <v>37</v>
      </c>
      <c r="F76" s="3">
        <v>65</v>
      </c>
      <c r="G76" s="3">
        <v>21</v>
      </c>
      <c r="H76" s="4">
        <v>39</v>
      </c>
      <c r="I76" s="31">
        <v>36</v>
      </c>
      <c r="J76" s="4">
        <v>25</v>
      </c>
      <c r="K76" s="31">
        <v>19</v>
      </c>
      <c r="L76" s="46">
        <v>21</v>
      </c>
      <c r="M76" s="95"/>
      <c r="N76" s="4">
        <v>62</v>
      </c>
      <c r="O76" s="4">
        <v>72</v>
      </c>
    </row>
    <row r="77" spans="1:15" x14ac:dyDescent="0.25">
      <c r="A77" s="97" t="s">
        <v>182</v>
      </c>
      <c r="B77" s="43" t="s">
        <v>278</v>
      </c>
      <c r="C77" s="43">
        <v>9</v>
      </c>
      <c r="D77" s="58" t="s">
        <v>19</v>
      </c>
      <c r="E77" s="62">
        <v>9</v>
      </c>
      <c r="F77" s="3">
        <v>9</v>
      </c>
      <c r="G77" s="31">
        <v>4</v>
      </c>
      <c r="H77" s="31">
        <v>11</v>
      </c>
      <c r="I77" s="4">
        <v>11</v>
      </c>
      <c r="J77" s="4">
        <v>12</v>
      </c>
      <c r="K77" s="31">
        <v>16</v>
      </c>
      <c r="L77" s="4">
        <v>14</v>
      </c>
      <c r="M77" s="95"/>
      <c r="N77" s="4">
        <v>31</v>
      </c>
      <c r="O77" s="4">
        <v>23</v>
      </c>
    </row>
    <row r="78" spans="1:15" x14ac:dyDescent="0.25">
      <c r="A78" s="97" t="s">
        <v>185</v>
      </c>
      <c r="B78" s="43" t="s">
        <v>278</v>
      </c>
      <c r="C78" s="43">
        <v>10</v>
      </c>
      <c r="D78" s="58" t="s">
        <v>19</v>
      </c>
      <c r="E78" s="58">
        <v>55</v>
      </c>
      <c r="F78" s="3">
        <v>47</v>
      </c>
      <c r="G78" s="3">
        <v>22</v>
      </c>
      <c r="H78" s="4">
        <v>59</v>
      </c>
      <c r="I78" s="4">
        <v>76</v>
      </c>
      <c r="J78" s="4">
        <v>23</v>
      </c>
      <c r="K78" s="4">
        <v>9</v>
      </c>
      <c r="L78" s="4">
        <v>10</v>
      </c>
      <c r="M78" s="95"/>
      <c r="N78" s="4">
        <v>59</v>
      </c>
      <c r="O78" s="4">
        <v>10</v>
      </c>
    </row>
    <row r="79" spans="1:15" x14ac:dyDescent="0.25">
      <c r="A79" s="97" t="s">
        <v>186</v>
      </c>
      <c r="B79" s="43" t="s">
        <v>279</v>
      </c>
      <c r="C79" s="43">
        <v>11</v>
      </c>
      <c r="D79" s="58" t="s">
        <v>96</v>
      </c>
      <c r="E79" s="58">
        <v>27</v>
      </c>
      <c r="F79" s="3">
        <v>24</v>
      </c>
      <c r="G79" s="3">
        <v>35</v>
      </c>
      <c r="H79" s="3">
        <v>37</v>
      </c>
      <c r="I79" s="4">
        <v>43</v>
      </c>
      <c r="J79" s="4">
        <v>49</v>
      </c>
      <c r="K79" s="4">
        <v>121</v>
      </c>
      <c r="L79" s="4">
        <v>131</v>
      </c>
      <c r="M79" s="95"/>
      <c r="N79" s="4">
        <v>170</v>
      </c>
      <c r="O79" s="4">
        <v>180</v>
      </c>
    </row>
    <row r="80" spans="1:15" x14ac:dyDescent="0.25">
      <c r="A80" s="97" t="s">
        <v>187</v>
      </c>
      <c r="B80" s="43" t="s">
        <v>279</v>
      </c>
      <c r="C80" s="43">
        <v>12</v>
      </c>
      <c r="D80" s="58" t="s">
        <v>96</v>
      </c>
      <c r="E80" s="58">
        <v>53</v>
      </c>
      <c r="F80" s="3">
        <v>75</v>
      </c>
      <c r="G80" s="3">
        <v>48</v>
      </c>
      <c r="H80" s="3">
        <v>37</v>
      </c>
      <c r="I80" s="4">
        <v>50</v>
      </c>
      <c r="J80" s="4">
        <v>61</v>
      </c>
      <c r="K80" s="4">
        <v>83</v>
      </c>
      <c r="L80" s="4">
        <v>28</v>
      </c>
      <c r="M80" s="95"/>
      <c r="N80" s="4">
        <v>57</v>
      </c>
      <c r="O80" s="4">
        <v>27</v>
      </c>
    </row>
    <row r="81" spans="1:15" x14ac:dyDescent="0.25">
      <c r="A81" s="97" t="s">
        <v>188</v>
      </c>
      <c r="B81" s="43" t="s">
        <v>279</v>
      </c>
      <c r="C81" s="43">
        <v>13</v>
      </c>
      <c r="D81" s="58" t="s">
        <v>96</v>
      </c>
      <c r="E81" s="58">
        <v>76</v>
      </c>
      <c r="F81" s="120">
        <v>48</v>
      </c>
      <c r="G81" s="3">
        <v>61</v>
      </c>
      <c r="H81" s="3">
        <v>67</v>
      </c>
      <c r="I81" s="4">
        <v>36</v>
      </c>
      <c r="J81" s="4">
        <v>36</v>
      </c>
      <c r="K81" s="31">
        <v>15</v>
      </c>
      <c r="L81" s="4">
        <v>17</v>
      </c>
      <c r="M81" s="95"/>
      <c r="N81" s="4">
        <v>15</v>
      </c>
      <c r="O81" s="4">
        <v>10</v>
      </c>
    </row>
    <row r="82" spans="1:15" x14ac:dyDescent="0.25">
      <c r="A82" s="97" t="s">
        <v>189</v>
      </c>
      <c r="B82" s="43" t="s">
        <v>279</v>
      </c>
      <c r="C82" s="43">
        <v>14</v>
      </c>
      <c r="D82" s="58" t="s">
        <v>96</v>
      </c>
      <c r="E82" s="118">
        <v>21</v>
      </c>
      <c r="F82" s="3">
        <v>76</v>
      </c>
      <c r="G82" s="3">
        <v>145</v>
      </c>
      <c r="H82" s="3">
        <v>213</v>
      </c>
      <c r="I82" s="4">
        <v>322</v>
      </c>
      <c r="J82" s="4">
        <v>290</v>
      </c>
      <c r="K82" s="31">
        <v>215</v>
      </c>
      <c r="L82" s="4">
        <v>172</v>
      </c>
      <c r="M82" s="95"/>
      <c r="N82" s="4">
        <v>340</v>
      </c>
      <c r="O82" s="4">
        <v>334</v>
      </c>
    </row>
    <row r="83" spans="1:15" x14ac:dyDescent="0.25">
      <c r="A83" s="96" t="s">
        <v>190</v>
      </c>
      <c r="B83" s="43" t="s">
        <v>280</v>
      </c>
      <c r="C83" s="43">
        <v>15</v>
      </c>
      <c r="D83" s="58" t="s">
        <v>19</v>
      </c>
      <c r="E83" s="119">
        <v>61</v>
      </c>
      <c r="F83" s="76">
        <v>71</v>
      </c>
      <c r="G83" s="76">
        <v>72</v>
      </c>
      <c r="H83" s="76">
        <v>51</v>
      </c>
      <c r="I83" s="76">
        <v>77</v>
      </c>
      <c r="J83" s="76">
        <v>88</v>
      </c>
      <c r="K83" s="76">
        <v>0</v>
      </c>
      <c r="L83" s="4">
        <v>45</v>
      </c>
      <c r="M83" s="95"/>
      <c r="N83" s="76">
        <v>67</v>
      </c>
      <c r="O83" s="4">
        <v>48</v>
      </c>
    </row>
    <row r="84" spans="1:15" x14ac:dyDescent="0.25">
      <c r="A84" s="96" t="s">
        <v>191</v>
      </c>
      <c r="B84" s="43" t="s">
        <v>280</v>
      </c>
      <c r="C84" s="43">
        <v>16</v>
      </c>
      <c r="D84" s="58" t="s">
        <v>19</v>
      </c>
      <c r="E84" s="58">
        <v>19</v>
      </c>
      <c r="F84" s="121">
        <v>16</v>
      </c>
      <c r="G84" s="31">
        <v>20</v>
      </c>
      <c r="H84" s="3">
        <v>38</v>
      </c>
      <c r="I84" s="4">
        <v>34</v>
      </c>
      <c r="J84" s="4">
        <v>55</v>
      </c>
      <c r="K84" s="31">
        <v>75</v>
      </c>
      <c r="L84" s="46">
        <v>54</v>
      </c>
      <c r="M84" s="95"/>
      <c r="N84" s="46">
        <v>60</v>
      </c>
      <c r="O84" s="4">
        <v>45</v>
      </c>
    </row>
    <row r="88" spans="1:15" x14ac:dyDescent="0.25">
      <c r="A88" s="7"/>
      <c r="B88" s="7"/>
      <c r="C88" s="7"/>
      <c r="D88" s="7" t="s">
        <v>201</v>
      </c>
      <c r="E88" s="28" t="s">
        <v>202</v>
      </c>
      <c r="F88" s="28" t="s">
        <v>202</v>
      </c>
      <c r="G88" s="28" t="s">
        <v>202</v>
      </c>
      <c r="H88" s="28" t="s">
        <v>202</v>
      </c>
      <c r="I88" s="28" t="s">
        <v>202</v>
      </c>
      <c r="J88" s="28" t="s">
        <v>202</v>
      </c>
      <c r="K88" s="28" t="s">
        <v>202</v>
      </c>
      <c r="L88" s="28" t="s">
        <v>202</v>
      </c>
      <c r="M88" s="28"/>
      <c r="N88" s="28" t="s">
        <v>202</v>
      </c>
    </row>
    <row r="89" spans="1:15" x14ac:dyDescent="0.25">
      <c r="A89" s="7" t="s">
        <v>282</v>
      </c>
      <c r="B89" s="7"/>
      <c r="C89" s="7"/>
      <c r="D89" s="7"/>
      <c r="E89" s="14" t="s">
        <v>204</v>
      </c>
      <c r="F89" s="14" t="s">
        <v>205</v>
      </c>
      <c r="G89" s="14" t="s">
        <v>206</v>
      </c>
      <c r="H89" s="14" t="s">
        <v>207</v>
      </c>
      <c r="I89" s="14" t="s">
        <v>208</v>
      </c>
      <c r="J89" s="14" t="s">
        <v>210</v>
      </c>
      <c r="K89" s="14" t="s">
        <v>211</v>
      </c>
      <c r="L89" s="14" t="s">
        <v>212</v>
      </c>
      <c r="M89" s="14" t="s">
        <v>209</v>
      </c>
      <c r="N89" s="14" t="s">
        <v>213</v>
      </c>
      <c r="O89" s="14" t="s">
        <v>214</v>
      </c>
    </row>
    <row r="90" spans="1:15" x14ac:dyDescent="0.25">
      <c r="A90" s="7" t="s">
        <v>215</v>
      </c>
      <c r="B90" s="7" t="s">
        <v>276</v>
      </c>
      <c r="C90" s="7" t="s">
        <v>216</v>
      </c>
      <c r="D90" s="7" t="s">
        <v>8</v>
      </c>
      <c r="E90" s="8">
        <v>44438</v>
      </c>
      <c r="F90" s="8">
        <v>44439</v>
      </c>
      <c r="G90" s="8">
        <v>44440</v>
      </c>
      <c r="H90" s="8">
        <v>44441</v>
      </c>
      <c r="I90" s="8">
        <v>44442</v>
      </c>
      <c r="J90" s="8">
        <v>44443</v>
      </c>
      <c r="K90" s="8">
        <v>44444</v>
      </c>
      <c r="L90" s="8">
        <v>44445</v>
      </c>
      <c r="M90" s="8">
        <v>44446</v>
      </c>
      <c r="N90" s="8">
        <v>44447</v>
      </c>
      <c r="O90" s="8">
        <v>44448</v>
      </c>
    </row>
    <row r="91" spans="1:15" x14ac:dyDescent="0.25">
      <c r="A91" s="96" t="s">
        <v>158</v>
      </c>
      <c r="B91" s="43" t="s">
        <v>277</v>
      </c>
      <c r="C91" s="43">
        <v>1</v>
      </c>
      <c r="D91" s="58" t="s">
        <v>19</v>
      </c>
      <c r="E91" s="58">
        <v>88</v>
      </c>
      <c r="F91" s="3">
        <v>56</v>
      </c>
      <c r="G91" s="3">
        <v>30</v>
      </c>
      <c r="H91" s="4">
        <v>58</v>
      </c>
      <c r="I91" s="4">
        <v>16</v>
      </c>
      <c r="J91" s="4">
        <v>6</v>
      </c>
      <c r="K91" s="4">
        <v>8</v>
      </c>
      <c r="L91" s="4">
        <v>22</v>
      </c>
      <c r="M91" s="95"/>
      <c r="N91" s="4">
        <v>21</v>
      </c>
      <c r="O91" s="4">
        <v>44</v>
      </c>
    </row>
    <row r="92" spans="1:15" x14ac:dyDescent="0.25">
      <c r="A92" s="96" t="s">
        <v>161</v>
      </c>
      <c r="B92" s="43" t="s">
        <v>277</v>
      </c>
      <c r="C92" s="43">
        <v>2</v>
      </c>
      <c r="D92" s="58" t="s">
        <v>19</v>
      </c>
      <c r="E92" s="58">
        <v>20</v>
      </c>
      <c r="F92" s="3">
        <v>42</v>
      </c>
      <c r="G92" s="3">
        <v>40</v>
      </c>
      <c r="H92" s="4">
        <v>35</v>
      </c>
      <c r="I92" s="4">
        <v>9</v>
      </c>
      <c r="J92" s="4">
        <v>4</v>
      </c>
      <c r="K92" s="4">
        <v>12</v>
      </c>
      <c r="L92" s="4">
        <v>8</v>
      </c>
      <c r="M92" s="95"/>
      <c r="N92" s="4">
        <v>4</v>
      </c>
      <c r="O92" s="4">
        <v>22</v>
      </c>
    </row>
    <row r="93" spans="1:15" x14ac:dyDescent="0.25">
      <c r="A93" s="97" t="s">
        <v>164</v>
      </c>
      <c r="B93" s="43" t="s">
        <v>278</v>
      </c>
      <c r="C93" s="43">
        <v>3</v>
      </c>
      <c r="D93" s="58" t="s">
        <v>96</v>
      </c>
      <c r="E93" s="58">
        <v>41</v>
      </c>
      <c r="F93" s="3">
        <v>25</v>
      </c>
      <c r="G93" s="3">
        <v>35</v>
      </c>
      <c r="H93" s="4">
        <v>12</v>
      </c>
      <c r="I93" s="4">
        <v>12</v>
      </c>
      <c r="J93" s="4">
        <v>10</v>
      </c>
      <c r="K93" s="4">
        <v>8</v>
      </c>
      <c r="L93" s="4">
        <v>0</v>
      </c>
      <c r="M93" s="95"/>
      <c r="N93" s="4">
        <v>9</v>
      </c>
      <c r="O93" s="4">
        <v>2</v>
      </c>
    </row>
    <row r="94" spans="1:15" x14ac:dyDescent="0.25">
      <c r="A94" s="97" t="s">
        <v>167</v>
      </c>
      <c r="B94" s="43" t="s">
        <v>278</v>
      </c>
      <c r="C94" s="43">
        <v>4</v>
      </c>
      <c r="D94" s="58" t="s">
        <v>96</v>
      </c>
      <c r="E94" s="58">
        <v>30</v>
      </c>
      <c r="F94" s="3">
        <v>5</v>
      </c>
      <c r="G94" s="3">
        <v>3</v>
      </c>
      <c r="H94" s="4">
        <v>5</v>
      </c>
      <c r="I94" s="4">
        <v>7</v>
      </c>
      <c r="J94" s="4">
        <v>12</v>
      </c>
      <c r="K94" s="4">
        <v>5</v>
      </c>
      <c r="L94" s="4">
        <v>4</v>
      </c>
      <c r="M94" s="95"/>
      <c r="N94" s="4">
        <v>6</v>
      </c>
      <c r="O94" s="4">
        <v>14</v>
      </c>
    </row>
    <row r="95" spans="1:15" x14ac:dyDescent="0.25">
      <c r="A95" s="97" t="s">
        <v>170</v>
      </c>
      <c r="B95" s="43" t="s">
        <v>278</v>
      </c>
      <c r="C95" s="43">
        <v>5</v>
      </c>
      <c r="D95" s="58" t="s">
        <v>96</v>
      </c>
      <c r="E95" s="58">
        <v>29</v>
      </c>
      <c r="F95" s="3">
        <v>1</v>
      </c>
      <c r="G95" s="3">
        <v>5</v>
      </c>
      <c r="H95" s="4">
        <v>52</v>
      </c>
      <c r="I95" s="4">
        <v>62</v>
      </c>
      <c r="J95" s="4">
        <v>66</v>
      </c>
      <c r="K95" s="4">
        <v>17</v>
      </c>
      <c r="L95" s="4">
        <v>18</v>
      </c>
      <c r="M95" s="95"/>
      <c r="N95" s="4">
        <v>18</v>
      </c>
      <c r="O95" s="4">
        <v>26</v>
      </c>
    </row>
    <row r="96" spans="1:15" x14ac:dyDescent="0.25">
      <c r="A96" s="97" t="s">
        <v>173</v>
      </c>
      <c r="B96" s="43" t="s">
        <v>278</v>
      </c>
      <c r="C96" s="43">
        <v>6</v>
      </c>
      <c r="D96" s="58" t="s">
        <v>19</v>
      </c>
      <c r="E96" s="58">
        <v>33</v>
      </c>
      <c r="F96" s="31">
        <v>7</v>
      </c>
      <c r="G96" s="3">
        <v>31</v>
      </c>
      <c r="H96" s="4">
        <v>10</v>
      </c>
      <c r="I96" s="4">
        <v>12</v>
      </c>
      <c r="J96" s="4">
        <v>1</v>
      </c>
      <c r="K96" s="4">
        <v>22</v>
      </c>
      <c r="L96" s="4">
        <v>18</v>
      </c>
      <c r="M96" s="95"/>
      <c r="N96" s="4">
        <v>19</v>
      </c>
      <c r="O96" s="4">
        <v>20</v>
      </c>
    </row>
    <row r="97" spans="1:15" x14ac:dyDescent="0.25">
      <c r="A97" s="97" t="s">
        <v>176</v>
      </c>
      <c r="B97" s="43" t="s">
        <v>278</v>
      </c>
      <c r="C97" s="43">
        <v>7</v>
      </c>
      <c r="D97" s="58" t="s">
        <v>96</v>
      </c>
      <c r="E97" s="58">
        <v>20</v>
      </c>
      <c r="F97" s="3">
        <v>18</v>
      </c>
      <c r="G97" s="3">
        <v>13</v>
      </c>
      <c r="H97" s="31">
        <v>11</v>
      </c>
      <c r="I97" s="31">
        <v>0</v>
      </c>
      <c r="J97" s="31">
        <v>10</v>
      </c>
      <c r="K97" s="31">
        <v>61</v>
      </c>
      <c r="L97" s="46">
        <v>182</v>
      </c>
      <c r="M97" s="95"/>
      <c r="N97" s="46">
        <v>296</v>
      </c>
      <c r="O97" s="4">
        <v>207</v>
      </c>
    </row>
    <row r="98" spans="1:15" ht="24.75" x14ac:dyDescent="0.25">
      <c r="A98" s="98" t="s">
        <v>179</v>
      </c>
      <c r="B98" s="43" t="s">
        <v>278</v>
      </c>
      <c r="C98" s="43">
        <v>8</v>
      </c>
      <c r="D98" s="58" t="s">
        <v>96</v>
      </c>
      <c r="E98" s="58">
        <v>15</v>
      </c>
      <c r="F98" s="3">
        <v>10</v>
      </c>
      <c r="G98" s="3">
        <v>7</v>
      </c>
      <c r="H98" s="4">
        <v>15</v>
      </c>
      <c r="I98" s="31">
        <v>6</v>
      </c>
      <c r="J98" s="4">
        <v>10</v>
      </c>
      <c r="K98" s="31">
        <v>7</v>
      </c>
      <c r="L98" s="46">
        <v>1</v>
      </c>
      <c r="M98" s="95"/>
      <c r="N98" s="4">
        <v>16</v>
      </c>
      <c r="O98" s="4">
        <v>13</v>
      </c>
    </row>
    <row r="99" spans="1:15" x14ac:dyDescent="0.25">
      <c r="A99" s="97" t="s">
        <v>182</v>
      </c>
      <c r="B99" s="43" t="s">
        <v>278</v>
      </c>
      <c r="C99" s="43">
        <v>9</v>
      </c>
      <c r="D99" s="58" t="s">
        <v>19</v>
      </c>
      <c r="E99" s="62">
        <v>6</v>
      </c>
      <c r="F99" s="3">
        <v>14</v>
      </c>
      <c r="G99" s="31">
        <v>17</v>
      </c>
      <c r="H99" s="31">
        <v>9</v>
      </c>
      <c r="I99" s="4">
        <v>30</v>
      </c>
      <c r="J99" s="4">
        <v>41</v>
      </c>
      <c r="K99" s="31">
        <v>18</v>
      </c>
      <c r="L99" s="4">
        <v>17</v>
      </c>
      <c r="M99" s="95"/>
      <c r="N99" s="4">
        <v>30</v>
      </c>
      <c r="O99" s="4">
        <v>26</v>
      </c>
    </row>
    <row r="100" spans="1:15" x14ac:dyDescent="0.25">
      <c r="A100" s="97" t="s">
        <v>185</v>
      </c>
      <c r="B100" s="43" t="s">
        <v>278</v>
      </c>
      <c r="C100" s="43">
        <v>10</v>
      </c>
      <c r="D100" s="58" t="s">
        <v>19</v>
      </c>
      <c r="E100" s="58">
        <v>24</v>
      </c>
      <c r="F100" s="3">
        <v>18</v>
      </c>
      <c r="G100" s="3">
        <v>8</v>
      </c>
      <c r="H100" s="4">
        <v>16</v>
      </c>
      <c r="I100" s="4">
        <v>17</v>
      </c>
      <c r="J100" s="4">
        <v>7</v>
      </c>
      <c r="K100" s="4">
        <v>3</v>
      </c>
      <c r="L100" s="4">
        <v>6</v>
      </c>
      <c r="M100" s="95"/>
      <c r="N100" s="4">
        <v>15</v>
      </c>
      <c r="O100" s="4">
        <v>3</v>
      </c>
    </row>
    <row r="101" spans="1:15" x14ac:dyDescent="0.25">
      <c r="A101" s="97" t="s">
        <v>186</v>
      </c>
      <c r="B101" s="43" t="s">
        <v>279</v>
      </c>
      <c r="C101" s="43">
        <v>11</v>
      </c>
      <c r="D101" s="58" t="s">
        <v>96</v>
      </c>
      <c r="E101" s="58">
        <v>9</v>
      </c>
      <c r="F101" s="3">
        <v>7</v>
      </c>
      <c r="G101" s="3">
        <v>6</v>
      </c>
      <c r="H101" s="3">
        <v>6</v>
      </c>
      <c r="I101" s="4">
        <v>13</v>
      </c>
      <c r="J101" s="4">
        <v>7</v>
      </c>
      <c r="K101" s="4">
        <v>4</v>
      </c>
      <c r="L101" s="4">
        <v>55</v>
      </c>
      <c r="M101" s="95"/>
      <c r="N101" s="4">
        <v>43</v>
      </c>
      <c r="O101" s="4">
        <v>39</v>
      </c>
    </row>
    <row r="102" spans="1:15" x14ac:dyDescent="0.25">
      <c r="A102" s="97" t="s">
        <v>187</v>
      </c>
      <c r="B102" s="43" t="s">
        <v>279</v>
      </c>
      <c r="C102" s="43">
        <v>12</v>
      </c>
      <c r="D102" s="58" t="s">
        <v>96</v>
      </c>
      <c r="E102" s="58">
        <v>50</v>
      </c>
      <c r="F102" s="3">
        <v>51</v>
      </c>
      <c r="G102" s="3">
        <v>52</v>
      </c>
      <c r="H102" s="3">
        <v>17</v>
      </c>
      <c r="I102" s="4">
        <v>49</v>
      </c>
      <c r="J102" s="4">
        <v>27</v>
      </c>
      <c r="K102" s="4">
        <v>35</v>
      </c>
      <c r="L102" s="4">
        <v>35</v>
      </c>
      <c r="M102" s="95"/>
      <c r="N102" s="4">
        <v>17</v>
      </c>
      <c r="O102" s="4">
        <v>38</v>
      </c>
    </row>
    <row r="103" spans="1:15" x14ac:dyDescent="0.25">
      <c r="A103" s="97" t="s">
        <v>188</v>
      </c>
      <c r="B103" s="43" t="s">
        <v>279</v>
      </c>
      <c r="C103" s="43">
        <v>13</v>
      </c>
      <c r="D103" s="58" t="s">
        <v>96</v>
      </c>
      <c r="E103" s="58">
        <v>80</v>
      </c>
      <c r="F103" s="120">
        <v>31</v>
      </c>
      <c r="G103" s="3">
        <v>27</v>
      </c>
      <c r="H103" s="3">
        <v>3</v>
      </c>
      <c r="I103" s="4">
        <v>5</v>
      </c>
      <c r="J103" s="4">
        <v>6</v>
      </c>
      <c r="K103" s="31">
        <v>3</v>
      </c>
      <c r="L103" s="4">
        <v>1</v>
      </c>
      <c r="M103" s="95"/>
      <c r="N103" s="4">
        <v>4</v>
      </c>
      <c r="O103" s="4">
        <v>4</v>
      </c>
    </row>
    <row r="104" spans="1:15" x14ac:dyDescent="0.25">
      <c r="A104" s="97" t="s">
        <v>189</v>
      </c>
      <c r="B104" s="43" t="s">
        <v>279</v>
      </c>
      <c r="C104" s="43">
        <v>14</v>
      </c>
      <c r="D104" s="58" t="s">
        <v>96</v>
      </c>
      <c r="E104" s="118">
        <v>23</v>
      </c>
      <c r="F104" s="3">
        <v>11</v>
      </c>
      <c r="G104" s="3">
        <v>7</v>
      </c>
      <c r="H104" s="3">
        <v>6</v>
      </c>
      <c r="I104" s="4">
        <v>9</v>
      </c>
      <c r="J104" s="4">
        <v>14</v>
      </c>
      <c r="K104" s="31">
        <v>30</v>
      </c>
      <c r="L104" s="4">
        <v>2</v>
      </c>
      <c r="M104" s="95"/>
      <c r="N104" s="4">
        <v>48</v>
      </c>
      <c r="O104" s="4">
        <v>17</v>
      </c>
    </row>
    <row r="105" spans="1:15" x14ac:dyDescent="0.25">
      <c r="A105" s="96" t="s">
        <v>190</v>
      </c>
      <c r="B105" s="43" t="s">
        <v>280</v>
      </c>
      <c r="C105" s="43">
        <v>15</v>
      </c>
      <c r="D105" s="58" t="s">
        <v>19</v>
      </c>
      <c r="E105" s="119">
        <v>38</v>
      </c>
      <c r="F105" s="76">
        <v>32</v>
      </c>
      <c r="G105" s="76">
        <v>19</v>
      </c>
      <c r="H105" s="76">
        <v>15</v>
      </c>
      <c r="I105" s="76">
        <v>6</v>
      </c>
      <c r="J105" s="76">
        <v>33</v>
      </c>
      <c r="K105" s="76">
        <v>0</v>
      </c>
      <c r="L105" s="4">
        <v>12</v>
      </c>
      <c r="M105" s="95"/>
      <c r="N105" s="76">
        <v>120</v>
      </c>
      <c r="O105" s="4">
        <v>10</v>
      </c>
    </row>
    <row r="106" spans="1:15" x14ac:dyDescent="0.25">
      <c r="A106" s="96" t="s">
        <v>191</v>
      </c>
      <c r="B106" s="43" t="s">
        <v>280</v>
      </c>
      <c r="C106" s="43">
        <v>16</v>
      </c>
      <c r="D106" s="58" t="s">
        <v>19</v>
      </c>
      <c r="E106" s="58">
        <v>21</v>
      </c>
      <c r="F106" s="121">
        <v>2</v>
      </c>
      <c r="G106" s="31">
        <v>18</v>
      </c>
      <c r="H106" s="3">
        <v>9</v>
      </c>
      <c r="I106" s="4">
        <v>11</v>
      </c>
      <c r="J106" s="4">
        <v>14</v>
      </c>
      <c r="K106" s="31">
        <v>1</v>
      </c>
      <c r="L106" s="46">
        <v>4</v>
      </c>
      <c r="M106" s="95"/>
      <c r="N106" s="46">
        <v>4</v>
      </c>
      <c r="O106" s="4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CD27-614F-4838-AB79-A78ADF512CE3}">
  <dimension ref="A2:BC53"/>
  <sheetViews>
    <sheetView topLeftCell="A19" workbookViewId="0">
      <selection activeCell="E37" sqref="E37:N38"/>
    </sheetView>
  </sheetViews>
  <sheetFormatPr defaultRowHeight="15" x14ac:dyDescent="0.25"/>
  <cols>
    <col min="1" max="1" width="15.28515625" bestFit="1" customWidth="1"/>
  </cols>
  <sheetData>
    <row r="2" spans="1:27" x14ac:dyDescent="0.25">
      <c r="T2" t="s">
        <v>9</v>
      </c>
      <c r="Y2" t="s">
        <v>260</v>
      </c>
    </row>
    <row r="3" spans="1:27" x14ac:dyDescent="0.25">
      <c r="A3" t="s">
        <v>9</v>
      </c>
      <c r="F3" t="s">
        <v>260</v>
      </c>
      <c r="T3" t="s">
        <v>159</v>
      </c>
      <c r="V3" t="s">
        <v>160</v>
      </c>
      <c r="Y3" t="s">
        <v>262</v>
      </c>
      <c r="AA3" t="s">
        <v>263</v>
      </c>
    </row>
    <row r="4" spans="1:27" x14ac:dyDescent="0.25">
      <c r="A4" t="s">
        <v>159</v>
      </c>
      <c r="C4" t="s">
        <v>160</v>
      </c>
      <c r="F4" t="s">
        <v>262</v>
      </c>
      <c r="H4" t="s">
        <v>263</v>
      </c>
      <c r="T4" t="s">
        <v>162</v>
      </c>
      <c r="V4" t="s">
        <v>163</v>
      </c>
      <c r="Y4" t="s">
        <v>264</v>
      </c>
      <c r="AA4" t="s">
        <v>265</v>
      </c>
    </row>
    <row r="5" spans="1:27" x14ac:dyDescent="0.25">
      <c r="A5" t="s">
        <v>162</v>
      </c>
      <c r="C5" t="s">
        <v>163</v>
      </c>
      <c r="F5" t="s">
        <v>264</v>
      </c>
      <c r="H5" t="s">
        <v>265</v>
      </c>
      <c r="T5" t="s">
        <v>165</v>
      </c>
      <c r="V5" t="s">
        <v>166</v>
      </c>
      <c r="AA5" t="s">
        <v>266</v>
      </c>
    </row>
    <row r="6" spans="1:27" x14ac:dyDescent="0.25">
      <c r="A6" t="s">
        <v>165</v>
      </c>
      <c r="C6" t="s">
        <v>166</v>
      </c>
      <c r="H6" t="s">
        <v>266</v>
      </c>
      <c r="T6" t="s">
        <v>168</v>
      </c>
      <c r="V6" t="s">
        <v>169</v>
      </c>
      <c r="AA6" t="s">
        <v>267</v>
      </c>
    </row>
    <row r="7" spans="1:27" x14ac:dyDescent="0.25">
      <c r="A7" t="s">
        <v>168</v>
      </c>
      <c r="C7" t="s">
        <v>169</v>
      </c>
      <c r="H7" t="s">
        <v>267</v>
      </c>
      <c r="T7" t="s">
        <v>171</v>
      </c>
      <c r="V7" t="s">
        <v>172</v>
      </c>
      <c r="Y7" t="s">
        <v>268</v>
      </c>
      <c r="AA7" t="s">
        <v>269</v>
      </c>
    </row>
    <row r="8" spans="1:27" x14ac:dyDescent="0.25">
      <c r="A8" t="s">
        <v>171</v>
      </c>
      <c r="C8" t="s">
        <v>172</v>
      </c>
      <c r="F8" t="s">
        <v>268</v>
      </c>
      <c r="H8" t="s">
        <v>269</v>
      </c>
      <c r="T8" t="s">
        <v>174</v>
      </c>
      <c r="V8" t="s">
        <v>175</v>
      </c>
      <c r="AA8" t="s">
        <v>270</v>
      </c>
    </row>
    <row r="9" spans="1:27" x14ac:dyDescent="0.25">
      <c r="A9" t="s">
        <v>174</v>
      </c>
      <c r="C9" t="s">
        <v>175</v>
      </c>
      <c r="H9" t="s">
        <v>270</v>
      </c>
      <c r="T9" t="s">
        <v>177</v>
      </c>
      <c r="V9" t="s">
        <v>178</v>
      </c>
      <c r="AA9" t="s">
        <v>271</v>
      </c>
    </row>
    <row r="10" spans="1:27" x14ac:dyDescent="0.25">
      <c r="A10" t="s">
        <v>177</v>
      </c>
      <c r="C10" t="s">
        <v>178</v>
      </c>
      <c r="H10" t="s">
        <v>271</v>
      </c>
      <c r="T10" t="s">
        <v>180</v>
      </c>
      <c r="V10" t="s">
        <v>181</v>
      </c>
      <c r="Y10" t="s">
        <v>272</v>
      </c>
      <c r="AA10" t="s">
        <v>263</v>
      </c>
    </row>
    <row r="11" spans="1:27" x14ac:dyDescent="0.25">
      <c r="A11" t="s">
        <v>180</v>
      </c>
      <c r="C11" t="s">
        <v>181</v>
      </c>
      <c r="F11" t="s">
        <v>272</v>
      </c>
      <c r="H11" t="s">
        <v>263</v>
      </c>
      <c r="T11" t="s">
        <v>183</v>
      </c>
      <c r="V11" t="s">
        <v>184</v>
      </c>
    </row>
    <row r="12" spans="1:27" x14ac:dyDescent="0.25">
      <c r="A12" t="s">
        <v>183</v>
      </c>
      <c r="C12" t="s">
        <v>184</v>
      </c>
    </row>
    <row r="14" spans="1:27" x14ac:dyDescent="0.25">
      <c r="A14" s="115" t="s">
        <v>234</v>
      </c>
    </row>
    <row r="15" spans="1:27" ht="60" x14ac:dyDescent="0.25">
      <c r="A15" s="116" t="s">
        <v>273</v>
      </c>
    </row>
    <row r="16" spans="1:27" ht="60" x14ac:dyDescent="0.25">
      <c r="A16" s="117" t="s">
        <v>274</v>
      </c>
    </row>
    <row r="17" spans="1:55" x14ac:dyDescent="0.25">
      <c r="A17" s="78" t="s">
        <v>275</v>
      </c>
    </row>
    <row r="22" spans="1:55" x14ac:dyDescent="0.25">
      <c r="A22" s="7" t="s">
        <v>218</v>
      </c>
      <c r="B22" s="7"/>
      <c r="C22" s="7"/>
      <c r="D22" s="7"/>
      <c r="E22" s="14" t="s">
        <v>204</v>
      </c>
      <c r="F22" s="14" t="s">
        <v>205</v>
      </c>
      <c r="G22" s="14" t="s">
        <v>206</v>
      </c>
      <c r="H22" s="14" t="s">
        <v>207</v>
      </c>
      <c r="I22" s="14" t="s">
        <v>208</v>
      </c>
      <c r="J22" s="14" t="s">
        <v>210</v>
      </c>
      <c r="K22" s="14" t="s">
        <v>211</v>
      </c>
      <c r="L22" s="14" t="s">
        <v>212</v>
      </c>
      <c r="M22" s="14" t="s">
        <v>213</v>
      </c>
      <c r="N22" s="14" t="s">
        <v>214</v>
      </c>
      <c r="T22" s="7" t="s">
        <v>281</v>
      </c>
      <c r="U22" s="7"/>
      <c r="V22" s="7"/>
      <c r="W22" s="7"/>
      <c r="X22" s="14" t="s">
        <v>204</v>
      </c>
      <c r="Y22" s="14" t="s">
        <v>205</v>
      </c>
      <c r="Z22" s="14" t="s">
        <v>206</v>
      </c>
      <c r="AA22" s="14" t="s">
        <v>207</v>
      </c>
      <c r="AB22" s="14" t="s">
        <v>208</v>
      </c>
      <c r="AC22" s="14" t="s">
        <v>210</v>
      </c>
      <c r="AD22" s="14" t="s">
        <v>211</v>
      </c>
      <c r="AE22" s="14" t="s">
        <v>212</v>
      </c>
      <c r="AF22" s="14" t="s">
        <v>213</v>
      </c>
      <c r="AG22" s="14" t="s">
        <v>214</v>
      </c>
      <c r="AM22" s="7" t="s">
        <v>282</v>
      </c>
      <c r="AN22" s="7"/>
      <c r="AO22" s="7"/>
      <c r="AP22" s="7"/>
      <c r="AQ22" s="14" t="s">
        <v>204</v>
      </c>
      <c r="AR22" s="14" t="s">
        <v>205</v>
      </c>
      <c r="AS22" s="14" t="s">
        <v>206</v>
      </c>
      <c r="AT22" s="14" t="s">
        <v>207</v>
      </c>
      <c r="AU22" s="14" t="s">
        <v>208</v>
      </c>
      <c r="AV22" s="14" t="s">
        <v>210</v>
      </c>
      <c r="AW22" s="14" t="s">
        <v>211</v>
      </c>
      <c r="AX22" s="14" t="s">
        <v>212</v>
      </c>
      <c r="AY22" s="14" t="s">
        <v>213</v>
      </c>
      <c r="AZ22" s="14" t="s">
        <v>214</v>
      </c>
    </row>
    <row r="23" spans="1:55" x14ac:dyDescent="0.25">
      <c r="A23" s="7" t="s">
        <v>215</v>
      </c>
      <c r="B23" s="7" t="s">
        <v>276</v>
      </c>
      <c r="C23" s="7" t="s">
        <v>216</v>
      </c>
      <c r="D23" s="7" t="s">
        <v>8</v>
      </c>
      <c r="E23" s="8">
        <v>44438</v>
      </c>
      <c r="F23" s="8">
        <v>44439</v>
      </c>
      <c r="G23" s="8">
        <v>44440</v>
      </c>
      <c r="H23" s="8">
        <v>44441</v>
      </c>
      <c r="I23" s="8">
        <v>44442</v>
      </c>
      <c r="J23" s="8">
        <v>44443</v>
      </c>
      <c r="K23" s="8">
        <v>44444</v>
      </c>
      <c r="L23" s="8">
        <v>44445</v>
      </c>
      <c r="M23" s="8">
        <v>44447</v>
      </c>
      <c r="N23" s="8">
        <v>44448</v>
      </c>
      <c r="O23" s="37" t="s">
        <v>221</v>
      </c>
      <c r="P23" s="37" t="s">
        <v>222</v>
      </c>
      <c r="Q23" t="s">
        <v>223</v>
      </c>
      <c r="T23" s="7" t="s">
        <v>215</v>
      </c>
      <c r="U23" s="7" t="s">
        <v>276</v>
      </c>
      <c r="V23" s="7" t="s">
        <v>216</v>
      </c>
      <c r="W23" s="7" t="s">
        <v>8</v>
      </c>
      <c r="X23" s="8">
        <v>44438</v>
      </c>
      <c r="Y23" s="8">
        <v>44439</v>
      </c>
      <c r="Z23" s="8">
        <v>44440</v>
      </c>
      <c r="AA23" s="8">
        <v>44441</v>
      </c>
      <c r="AB23" s="8">
        <v>44442</v>
      </c>
      <c r="AC23" s="8">
        <v>44443</v>
      </c>
      <c r="AD23" s="8">
        <v>44444</v>
      </c>
      <c r="AE23" s="8">
        <v>44445</v>
      </c>
      <c r="AF23" s="8">
        <v>44447</v>
      </c>
      <c r="AG23" s="8">
        <v>44448</v>
      </c>
      <c r="AH23" s="37" t="s">
        <v>221</v>
      </c>
      <c r="AI23" s="37" t="s">
        <v>222</v>
      </c>
      <c r="AJ23" t="s">
        <v>223</v>
      </c>
      <c r="AM23" s="7" t="s">
        <v>215</v>
      </c>
      <c r="AN23" s="7" t="s">
        <v>276</v>
      </c>
      <c r="AO23" s="7" t="s">
        <v>216</v>
      </c>
      <c r="AP23" s="7" t="s">
        <v>8</v>
      </c>
      <c r="AQ23" s="8">
        <v>44438</v>
      </c>
      <c r="AR23" s="8">
        <v>44439</v>
      </c>
      <c r="AS23" s="8">
        <v>44440</v>
      </c>
      <c r="AT23" s="8">
        <v>44441</v>
      </c>
      <c r="AU23" s="8">
        <v>44442</v>
      </c>
      <c r="AV23" s="8">
        <v>44443</v>
      </c>
      <c r="AW23" s="8">
        <v>44444</v>
      </c>
      <c r="AX23" s="8">
        <v>44445</v>
      </c>
      <c r="AY23" s="8">
        <v>44447</v>
      </c>
      <c r="AZ23" s="8">
        <v>44448</v>
      </c>
      <c r="BA23" s="37" t="s">
        <v>221</v>
      </c>
      <c r="BB23" s="37" t="s">
        <v>222</v>
      </c>
      <c r="BC23" t="s">
        <v>223</v>
      </c>
    </row>
    <row r="24" spans="1:55" x14ac:dyDescent="0.25">
      <c r="A24" s="97" t="s">
        <v>167</v>
      </c>
      <c r="B24" s="43" t="s">
        <v>278</v>
      </c>
      <c r="C24" s="43">
        <v>4</v>
      </c>
      <c r="D24" s="58" t="s">
        <v>96</v>
      </c>
      <c r="E24" s="58">
        <v>15</v>
      </c>
      <c r="F24" s="3">
        <v>38</v>
      </c>
      <c r="G24" s="3">
        <v>49</v>
      </c>
      <c r="H24" s="4">
        <v>25</v>
      </c>
      <c r="I24" s="4">
        <v>20</v>
      </c>
      <c r="J24" s="4">
        <v>23</v>
      </c>
      <c r="K24" s="4">
        <v>22</v>
      </c>
      <c r="L24" s="4">
        <v>18</v>
      </c>
      <c r="M24" s="4">
        <v>17</v>
      </c>
      <c r="N24" s="4">
        <v>17</v>
      </c>
      <c r="O24">
        <f>AVERAGE(L24:N24)</f>
        <v>17.333333333333332</v>
      </c>
      <c r="P24">
        <f>AVERAGE(E24:N24)</f>
        <v>24.4</v>
      </c>
      <c r="Q24">
        <v>1</v>
      </c>
      <c r="T24" s="97" t="s">
        <v>167</v>
      </c>
      <c r="U24" s="43" t="s">
        <v>278</v>
      </c>
      <c r="V24" s="43">
        <v>4</v>
      </c>
      <c r="W24" s="58" t="s">
        <v>96</v>
      </c>
      <c r="X24" s="58">
        <v>24</v>
      </c>
      <c r="Y24" s="3">
        <v>65</v>
      </c>
      <c r="Z24" s="3">
        <v>74</v>
      </c>
      <c r="AA24" s="4">
        <v>70</v>
      </c>
      <c r="AB24" s="4">
        <v>33</v>
      </c>
      <c r="AC24" s="4">
        <v>42</v>
      </c>
      <c r="AD24" s="4">
        <v>30</v>
      </c>
      <c r="AE24" s="4">
        <v>35</v>
      </c>
      <c r="AF24" s="4">
        <v>26</v>
      </c>
      <c r="AG24" s="4">
        <v>27</v>
      </c>
      <c r="AH24">
        <f>AVERAGE(AE24:AG24)</f>
        <v>29.333333333333332</v>
      </c>
      <c r="AI24">
        <f>AVERAGE(X24:AG24)</f>
        <v>42.6</v>
      </c>
      <c r="AJ24">
        <v>1</v>
      </c>
      <c r="AM24" s="97" t="s">
        <v>167</v>
      </c>
      <c r="AN24" s="43" t="s">
        <v>278</v>
      </c>
      <c r="AO24" s="43">
        <v>4</v>
      </c>
      <c r="AP24" s="58" t="s">
        <v>96</v>
      </c>
      <c r="AQ24" s="58">
        <v>30</v>
      </c>
      <c r="AR24" s="3">
        <v>5</v>
      </c>
      <c r="AS24" s="3">
        <v>3</v>
      </c>
      <c r="AT24" s="4">
        <v>5</v>
      </c>
      <c r="AU24" s="4">
        <v>7</v>
      </c>
      <c r="AV24" s="4">
        <v>12</v>
      </c>
      <c r="AW24" s="4">
        <v>5</v>
      </c>
      <c r="AX24" s="4">
        <v>4</v>
      </c>
      <c r="AY24" s="4">
        <v>6</v>
      </c>
      <c r="AZ24" s="4"/>
      <c r="BA24">
        <f>AVERAGE(AX24:AY24)</f>
        <v>5</v>
      </c>
      <c r="BB24">
        <f>AVERAGE(AQ24:AY24)</f>
        <v>8.5555555555555554</v>
      </c>
      <c r="BC24">
        <v>1</v>
      </c>
    </row>
    <row r="25" spans="1:55" x14ac:dyDescent="0.25">
      <c r="A25" s="97" t="s">
        <v>176</v>
      </c>
      <c r="B25" s="43" t="s">
        <v>278</v>
      </c>
      <c r="C25" s="43">
        <v>7</v>
      </c>
      <c r="D25" s="58" t="s">
        <v>96</v>
      </c>
      <c r="E25" s="58">
        <v>25</v>
      </c>
      <c r="F25" s="3">
        <v>52</v>
      </c>
      <c r="G25" s="3">
        <v>75</v>
      </c>
      <c r="H25" s="46">
        <v>75</v>
      </c>
      <c r="I25" s="46">
        <v>73</v>
      </c>
      <c r="J25" s="46">
        <v>66</v>
      </c>
      <c r="K25" s="46">
        <v>65</v>
      </c>
      <c r="L25" s="46">
        <v>73</v>
      </c>
      <c r="M25" s="46">
        <v>72</v>
      </c>
      <c r="N25" s="4">
        <v>63</v>
      </c>
      <c r="O25">
        <f t="shared" ref="O25:O27" si="0">AVERAGE(L25:N25)</f>
        <v>69.333333333333329</v>
      </c>
      <c r="P25">
        <f>AVERAGE(E25:M25)</f>
        <v>64</v>
      </c>
      <c r="Q25">
        <v>1</v>
      </c>
      <c r="T25" s="97" t="s">
        <v>176</v>
      </c>
      <c r="U25" s="43" t="s">
        <v>278</v>
      </c>
      <c r="V25" s="43">
        <v>7</v>
      </c>
      <c r="W25" s="58" t="s">
        <v>96</v>
      </c>
      <c r="X25" s="58">
        <v>44</v>
      </c>
      <c r="Y25" s="3">
        <v>107</v>
      </c>
      <c r="Z25" s="3">
        <v>148</v>
      </c>
      <c r="AA25" s="46">
        <v>154</v>
      </c>
      <c r="AB25" s="46">
        <v>188</v>
      </c>
      <c r="AC25" s="46">
        <v>139</v>
      </c>
      <c r="AD25" s="46">
        <v>181</v>
      </c>
      <c r="AE25" s="46">
        <v>166</v>
      </c>
      <c r="AF25" s="46">
        <v>150</v>
      </c>
      <c r="AG25" s="4">
        <v>147</v>
      </c>
      <c r="AH25">
        <f t="shared" ref="AH25:AH27" si="1">AVERAGE(AE25:AG25)</f>
        <v>154.33333333333334</v>
      </c>
      <c r="AI25">
        <f>AVERAGE(X25:AF25)</f>
        <v>141.88888888888889</v>
      </c>
      <c r="AJ25">
        <v>1</v>
      </c>
      <c r="AM25" s="97" t="s">
        <v>176</v>
      </c>
      <c r="AN25" s="43" t="s">
        <v>278</v>
      </c>
      <c r="AO25" s="43">
        <v>7</v>
      </c>
      <c r="AP25" s="58" t="s">
        <v>96</v>
      </c>
      <c r="AQ25" s="58">
        <v>20</v>
      </c>
      <c r="AR25" s="3">
        <v>18</v>
      </c>
      <c r="AS25" s="3">
        <v>13</v>
      </c>
      <c r="AT25" s="46">
        <v>11</v>
      </c>
      <c r="AU25" s="46">
        <v>0</v>
      </c>
      <c r="AV25" s="46">
        <v>10</v>
      </c>
      <c r="AW25" s="46">
        <v>61</v>
      </c>
      <c r="AX25" s="46">
        <v>182</v>
      </c>
      <c r="AY25" s="46">
        <v>296</v>
      </c>
      <c r="AZ25" s="4"/>
      <c r="BA25">
        <f>AVERAGE(AX25:AY25)</f>
        <v>239</v>
      </c>
      <c r="BB25">
        <f>AVERAGE(AQ25:AY25)</f>
        <v>67.888888888888886</v>
      </c>
      <c r="BC25">
        <v>1</v>
      </c>
    </row>
    <row r="26" spans="1:55" ht="24.75" x14ac:dyDescent="0.25">
      <c r="A26" s="98" t="s">
        <v>179</v>
      </c>
      <c r="B26" s="43" t="s">
        <v>278</v>
      </c>
      <c r="C26" s="43">
        <v>8</v>
      </c>
      <c r="D26" s="58" t="s">
        <v>96</v>
      </c>
      <c r="E26" s="58">
        <v>24</v>
      </c>
      <c r="F26" s="3">
        <v>39</v>
      </c>
      <c r="G26" s="3">
        <v>18</v>
      </c>
      <c r="H26" s="4">
        <v>24</v>
      </c>
      <c r="I26" s="46">
        <v>21</v>
      </c>
      <c r="J26" s="4">
        <v>16</v>
      </c>
      <c r="K26" s="46">
        <v>15</v>
      </c>
      <c r="L26" s="46">
        <v>15</v>
      </c>
      <c r="M26" s="4">
        <v>27</v>
      </c>
      <c r="N26" s="4">
        <v>33</v>
      </c>
      <c r="O26">
        <f t="shared" si="0"/>
        <v>25</v>
      </c>
      <c r="P26">
        <f>AVERAGE(E26:M26)</f>
        <v>22.111111111111111</v>
      </c>
      <c r="Q26">
        <v>1</v>
      </c>
      <c r="T26" s="98" t="s">
        <v>179</v>
      </c>
      <c r="U26" s="43" t="s">
        <v>278</v>
      </c>
      <c r="V26" s="43">
        <v>8</v>
      </c>
      <c r="W26" s="58" t="s">
        <v>96</v>
      </c>
      <c r="X26" s="58">
        <v>37</v>
      </c>
      <c r="Y26" s="3">
        <v>65</v>
      </c>
      <c r="Z26" s="3">
        <v>21</v>
      </c>
      <c r="AA26" s="4">
        <v>39</v>
      </c>
      <c r="AB26" s="46">
        <v>36</v>
      </c>
      <c r="AC26" s="4">
        <v>25</v>
      </c>
      <c r="AD26" s="46">
        <v>19</v>
      </c>
      <c r="AE26" s="46">
        <v>21</v>
      </c>
      <c r="AF26" s="4">
        <v>62</v>
      </c>
      <c r="AG26" s="4">
        <v>72</v>
      </c>
      <c r="AH26">
        <f t="shared" si="1"/>
        <v>51.666666666666664</v>
      </c>
      <c r="AI26">
        <f>AVERAGE(X26:AF26)</f>
        <v>36.111111111111114</v>
      </c>
      <c r="AJ26">
        <v>1</v>
      </c>
      <c r="AM26" s="98" t="s">
        <v>179</v>
      </c>
      <c r="AN26" s="43" t="s">
        <v>278</v>
      </c>
      <c r="AO26" s="43">
        <v>8</v>
      </c>
      <c r="AP26" s="58" t="s">
        <v>96</v>
      </c>
      <c r="AQ26" s="58">
        <v>15</v>
      </c>
      <c r="AR26" s="3">
        <v>10</v>
      </c>
      <c r="AS26" s="3">
        <v>7</v>
      </c>
      <c r="AT26" s="4">
        <v>15</v>
      </c>
      <c r="AU26" s="46">
        <v>6</v>
      </c>
      <c r="AV26" s="4">
        <v>10</v>
      </c>
      <c r="AW26" s="46">
        <v>7</v>
      </c>
      <c r="AX26" s="46">
        <v>1</v>
      </c>
      <c r="AY26" s="4">
        <v>16</v>
      </c>
      <c r="AZ26" s="4"/>
      <c r="BA26">
        <f>AVERAGE(AX26:AY26)</f>
        <v>8.5</v>
      </c>
      <c r="BB26">
        <f>AVERAGE(AQ26:AY26)</f>
        <v>9.6666666666666661</v>
      </c>
      <c r="BC26">
        <v>1</v>
      </c>
    </row>
    <row r="27" spans="1:55" x14ac:dyDescent="0.25">
      <c r="A27" s="97" t="s">
        <v>186</v>
      </c>
      <c r="B27" s="43" t="s">
        <v>279</v>
      </c>
      <c r="C27" s="43">
        <v>11</v>
      </c>
      <c r="D27" s="58" t="s">
        <v>96</v>
      </c>
      <c r="E27" s="58">
        <v>25</v>
      </c>
      <c r="F27" s="3">
        <v>23</v>
      </c>
      <c r="G27" s="3">
        <v>27</v>
      </c>
      <c r="H27" s="3">
        <v>31</v>
      </c>
      <c r="I27" s="3">
        <v>32</v>
      </c>
      <c r="J27" s="3">
        <v>24</v>
      </c>
      <c r="K27" s="3">
        <v>49</v>
      </c>
      <c r="L27" s="4">
        <v>41</v>
      </c>
      <c r="M27" s="4">
        <v>57</v>
      </c>
      <c r="N27" s="4">
        <v>54</v>
      </c>
      <c r="O27">
        <f t="shared" si="0"/>
        <v>50.666666666666664</v>
      </c>
      <c r="P27">
        <f>AVERAGE(E27:M27)</f>
        <v>34.333333333333336</v>
      </c>
      <c r="Q27">
        <v>1</v>
      </c>
      <c r="T27" s="97" t="s">
        <v>186</v>
      </c>
      <c r="U27" s="43" t="s">
        <v>279</v>
      </c>
      <c r="V27" s="43">
        <v>11</v>
      </c>
      <c r="W27" s="58" t="s">
        <v>96</v>
      </c>
      <c r="X27" s="58">
        <v>27</v>
      </c>
      <c r="Y27" s="3">
        <v>24</v>
      </c>
      <c r="Z27" s="3">
        <v>35</v>
      </c>
      <c r="AA27" s="3">
        <v>37</v>
      </c>
      <c r="AB27" s="3">
        <v>43</v>
      </c>
      <c r="AC27" s="3">
        <v>49</v>
      </c>
      <c r="AD27" s="3">
        <v>121</v>
      </c>
      <c r="AE27" s="4">
        <v>131</v>
      </c>
      <c r="AF27" s="4">
        <v>170</v>
      </c>
      <c r="AG27" s="4">
        <v>180</v>
      </c>
      <c r="AH27">
        <f t="shared" si="1"/>
        <v>160.33333333333334</v>
      </c>
      <c r="AI27">
        <f>AVERAGE(X27:AF27)</f>
        <v>70.777777777777771</v>
      </c>
      <c r="AJ27">
        <v>1</v>
      </c>
      <c r="AM27" s="97" t="s">
        <v>186</v>
      </c>
      <c r="AN27" s="43" t="s">
        <v>279</v>
      </c>
      <c r="AO27" s="43">
        <v>11</v>
      </c>
      <c r="AP27" s="58" t="s">
        <v>96</v>
      </c>
      <c r="AQ27" s="58">
        <v>9</v>
      </c>
      <c r="AR27" s="3">
        <v>7</v>
      </c>
      <c r="AS27" s="3">
        <v>6</v>
      </c>
      <c r="AT27" s="3">
        <v>6</v>
      </c>
      <c r="AU27" s="3">
        <v>13</v>
      </c>
      <c r="AV27" s="3">
        <v>7</v>
      </c>
      <c r="AW27" s="3">
        <v>4</v>
      </c>
      <c r="AX27" s="4">
        <v>55</v>
      </c>
      <c r="AY27" s="4">
        <v>43</v>
      </c>
      <c r="AZ27" s="4"/>
      <c r="BA27">
        <f>AVERAGE(AX27:AY27)</f>
        <v>49</v>
      </c>
      <c r="BB27">
        <f>AVERAGE(AQ27:AY27)</f>
        <v>16.666666666666668</v>
      </c>
      <c r="BC27">
        <v>1</v>
      </c>
    </row>
    <row r="28" spans="1:55" x14ac:dyDescent="0.25">
      <c r="N28" s="37" t="s">
        <v>224</v>
      </c>
      <c r="O28">
        <f>AVERAGE(O24:O27)</f>
        <v>40.583333333333329</v>
      </c>
      <c r="P28">
        <f>AVERAGE(P24:P27)</f>
        <v>36.211111111111116</v>
      </c>
      <c r="AG28" s="37" t="s">
        <v>224</v>
      </c>
      <c r="AH28">
        <f>AVERAGE(AH24:AH27)</f>
        <v>98.916666666666671</v>
      </c>
      <c r="AI28">
        <f>AVERAGE(AI24:AI27)</f>
        <v>72.844444444444434</v>
      </c>
    </row>
    <row r="31" spans="1:55" x14ac:dyDescent="0.25">
      <c r="A31" s="97" t="s">
        <v>164</v>
      </c>
      <c r="B31" s="43" t="s">
        <v>278</v>
      </c>
      <c r="C31" s="43">
        <v>3</v>
      </c>
      <c r="D31" s="58" t="s">
        <v>96</v>
      </c>
      <c r="E31" s="58">
        <v>24</v>
      </c>
      <c r="F31" s="3">
        <v>36</v>
      </c>
      <c r="G31" s="3">
        <v>26</v>
      </c>
      <c r="H31" s="4">
        <v>40</v>
      </c>
      <c r="I31" s="3">
        <v>25</v>
      </c>
      <c r="J31" s="4">
        <v>27</v>
      </c>
      <c r="K31" s="3">
        <v>22</v>
      </c>
      <c r="L31" s="4">
        <v>16</v>
      </c>
      <c r="M31" s="4">
        <v>16</v>
      </c>
      <c r="N31" s="4">
        <v>13</v>
      </c>
      <c r="O31">
        <f>AVERAGE(L31:N31)</f>
        <v>15</v>
      </c>
      <c r="P31">
        <f>AVERAGE(E31:N31)</f>
        <v>24.5</v>
      </c>
      <c r="Q31">
        <v>30</v>
      </c>
      <c r="R31" t="s">
        <v>283</v>
      </c>
      <c r="T31" s="97" t="s">
        <v>164</v>
      </c>
      <c r="U31" s="43" t="s">
        <v>278</v>
      </c>
      <c r="V31" s="43">
        <v>3</v>
      </c>
      <c r="W31" s="58" t="s">
        <v>96</v>
      </c>
      <c r="X31" s="58">
        <v>42</v>
      </c>
      <c r="Y31" s="3">
        <v>54</v>
      </c>
      <c r="Z31" s="3">
        <v>31</v>
      </c>
      <c r="AA31" s="4">
        <v>52</v>
      </c>
      <c r="AB31" s="3">
        <v>34</v>
      </c>
      <c r="AC31" s="4">
        <v>41</v>
      </c>
      <c r="AD31" s="3">
        <v>32</v>
      </c>
      <c r="AE31" s="4">
        <v>20</v>
      </c>
      <c r="AF31" s="4">
        <v>25</v>
      </c>
      <c r="AG31" s="4">
        <v>17</v>
      </c>
      <c r="AH31">
        <f>AVERAGE(AE31:AG31)</f>
        <v>20.666666666666668</v>
      </c>
      <c r="AI31">
        <f>AVERAGE(X31:AG31)</f>
        <v>34.799999999999997</v>
      </c>
      <c r="AJ31">
        <v>30</v>
      </c>
      <c r="AM31" s="97" t="s">
        <v>164</v>
      </c>
      <c r="AN31" s="43" t="s">
        <v>278</v>
      </c>
      <c r="AO31" s="43">
        <v>3</v>
      </c>
      <c r="AP31" s="58" t="s">
        <v>96</v>
      </c>
      <c r="AQ31" s="58">
        <v>41</v>
      </c>
      <c r="AR31" s="3">
        <v>25</v>
      </c>
      <c r="AS31" s="3">
        <v>35</v>
      </c>
      <c r="AT31" s="4">
        <v>12</v>
      </c>
      <c r="AU31" s="3">
        <v>12</v>
      </c>
      <c r="AV31" s="4">
        <v>10</v>
      </c>
      <c r="AW31" s="3">
        <v>8</v>
      </c>
      <c r="AX31" s="4">
        <v>0</v>
      </c>
      <c r="AY31" s="4">
        <v>9</v>
      </c>
      <c r="AZ31" s="4"/>
      <c r="BA31">
        <f>AVERAGE(AX31:AY31)</f>
        <v>4.5</v>
      </c>
      <c r="BB31">
        <f>AVERAGE(AQ31:AY31)</f>
        <v>16.888888888888889</v>
      </c>
      <c r="BC31">
        <v>30</v>
      </c>
    </row>
    <row r="32" spans="1:55" x14ac:dyDescent="0.25">
      <c r="A32" s="97" t="s">
        <v>170</v>
      </c>
      <c r="B32" s="43" t="s">
        <v>278</v>
      </c>
      <c r="C32" s="43">
        <v>5</v>
      </c>
      <c r="D32" s="58" t="s">
        <v>96</v>
      </c>
      <c r="E32" s="58">
        <v>43</v>
      </c>
      <c r="F32" s="3">
        <v>30</v>
      </c>
      <c r="G32" s="3">
        <v>57</v>
      </c>
      <c r="H32" s="3">
        <v>65</v>
      </c>
      <c r="I32" s="4">
        <v>73</v>
      </c>
      <c r="J32" s="4">
        <v>69</v>
      </c>
      <c r="K32" s="4">
        <v>59</v>
      </c>
      <c r="L32" s="4">
        <v>69</v>
      </c>
      <c r="M32" s="4">
        <v>75</v>
      </c>
      <c r="N32" s="4">
        <v>75</v>
      </c>
      <c r="O32">
        <f t="shared" ref="O32:O33" si="2">AVERAGE(L32:N32)</f>
        <v>73</v>
      </c>
      <c r="P32">
        <f t="shared" ref="P32:P33" si="3">AVERAGE(E32:N32)</f>
        <v>61.5</v>
      </c>
      <c r="Q32">
        <v>30</v>
      </c>
      <c r="T32" s="97" t="s">
        <v>170</v>
      </c>
      <c r="U32" s="43" t="s">
        <v>278</v>
      </c>
      <c r="V32" s="43">
        <v>5</v>
      </c>
      <c r="W32" s="58" t="s">
        <v>96</v>
      </c>
      <c r="X32" s="58">
        <v>105</v>
      </c>
      <c r="Y32" s="3">
        <v>42</v>
      </c>
      <c r="Z32" s="3">
        <v>123</v>
      </c>
      <c r="AA32" s="3">
        <v>163</v>
      </c>
      <c r="AB32" s="4">
        <v>225</v>
      </c>
      <c r="AC32" s="4">
        <v>197</v>
      </c>
      <c r="AD32" s="4">
        <v>163</v>
      </c>
      <c r="AE32" s="4">
        <v>275</v>
      </c>
      <c r="AF32" s="4">
        <v>225</v>
      </c>
      <c r="AG32" s="4">
        <v>336</v>
      </c>
      <c r="AH32">
        <f t="shared" ref="AH32:AH33" si="4">AVERAGE(AE32:AG32)</f>
        <v>278.66666666666669</v>
      </c>
      <c r="AI32">
        <f t="shared" ref="AI32:AI33" si="5">AVERAGE(X32:AG32)</f>
        <v>185.4</v>
      </c>
      <c r="AJ32">
        <v>30</v>
      </c>
      <c r="AM32" s="97" t="s">
        <v>170</v>
      </c>
      <c r="AN32" s="43" t="s">
        <v>278</v>
      </c>
      <c r="AO32" s="43">
        <v>5</v>
      </c>
      <c r="AP32" s="58" t="s">
        <v>96</v>
      </c>
      <c r="AQ32" s="58">
        <v>29</v>
      </c>
      <c r="AR32" s="3">
        <v>1</v>
      </c>
      <c r="AS32" s="3">
        <v>5</v>
      </c>
      <c r="AT32" s="3">
        <v>52</v>
      </c>
      <c r="AU32" s="4">
        <v>62</v>
      </c>
      <c r="AV32" s="4">
        <v>66</v>
      </c>
      <c r="AW32" s="4">
        <v>17</v>
      </c>
      <c r="AX32" s="4">
        <v>18</v>
      </c>
      <c r="AY32" s="4">
        <v>18</v>
      </c>
      <c r="AZ32" s="4"/>
      <c r="BA32">
        <f>AVERAGE(AX32:AY32)</f>
        <v>18</v>
      </c>
      <c r="BB32">
        <f>AVERAGE(AQ32:AY32)</f>
        <v>29.777777777777779</v>
      </c>
      <c r="BC32">
        <v>30</v>
      </c>
    </row>
    <row r="33" spans="1:55" x14ac:dyDescent="0.25">
      <c r="A33" s="97" t="s">
        <v>188</v>
      </c>
      <c r="B33" s="43" t="s">
        <v>279</v>
      </c>
      <c r="C33" s="43">
        <v>13</v>
      </c>
      <c r="D33" s="58" t="s">
        <v>96</v>
      </c>
      <c r="E33" s="58">
        <v>44</v>
      </c>
      <c r="F33" s="120">
        <v>33</v>
      </c>
      <c r="G33" s="3">
        <v>39</v>
      </c>
      <c r="H33" s="3">
        <v>52</v>
      </c>
      <c r="I33" s="4">
        <v>28</v>
      </c>
      <c r="J33" s="4">
        <v>20</v>
      </c>
      <c r="K33" s="46">
        <v>13</v>
      </c>
      <c r="L33" s="4">
        <v>15</v>
      </c>
      <c r="M33" s="4">
        <v>10</v>
      </c>
      <c r="N33" s="4">
        <v>9</v>
      </c>
      <c r="O33">
        <f t="shared" si="2"/>
        <v>11.333333333333334</v>
      </c>
      <c r="P33">
        <f t="shared" si="3"/>
        <v>26.3</v>
      </c>
      <c r="Q33">
        <v>30</v>
      </c>
      <c r="T33" s="97" t="s">
        <v>188</v>
      </c>
      <c r="U33" s="43" t="s">
        <v>279</v>
      </c>
      <c r="V33" s="43">
        <v>13</v>
      </c>
      <c r="W33" s="58" t="s">
        <v>96</v>
      </c>
      <c r="X33" s="58">
        <v>76</v>
      </c>
      <c r="Y33" s="120">
        <v>48</v>
      </c>
      <c r="Z33" s="3">
        <v>61</v>
      </c>
      <c r="AA33" s="3">
        <v>67</v>
      </c>
      <c r="AB33" s="4">
        <v>36</v>
      </c>
      <c r="AC33" s="4">
        <v>36</v>
      </c>
      <c r="AD33" s="46">
        <v>15</v>
      </c>
      <c r="AE33" s="4">
        <v>17</v>
      </c>
      <c r="AF33" s="4">
        <v>15</v>
      </c>
      <c r="AG33" s="4">
        <v>10</v>
      </c>
      <c r="AH33">
        <f t="shared" si="4"/>
        <v>14</v>
      </c>
      <c r="AI33">
        <f t="shared" si="5"/>
        <v>38.1</v>
      </c>
      <c r="AJ33">
        <v>30</v>
      </c>
      <c r="AM33" s="97" t="s">
        <v>188</v>
      </c>
      <c r="AN33" s="43" t="s">
        <v>279</v>
      </c>
      <c r="AO33" s="43">
        <v>13</v>
      </c>
      <c r="AP33" s="58" t="s">
        <v>96</v>
      </c>
      <c r="AQ33" s="58">
        <v>80</v>
      </c>
      <c r="AR33" s="120">
        <v>31</v>
      </c>
      <c r="AS33" s="3">
        <v>27</v>
      </c>
      <c r="AT33" s="3">
        <v>3</v>
      </c>
      <c r="AU33" s="4">
        <v>5</v>
      </c>
      <c r="AV33" s="4">
        <v>6</v>
      </c>
      <c r="AW33" s="46">
        <v>3</v>
      </c>
      <c r="AX33" s="4">
        <v>1</v>
      </c>
      <c r="AY33" s="4">
        <v>4</v>
      </c>
      <c r="AZ33" s="4"/>
      <c r="BA33">
        <f>AVERAGE(AX33:AY33)</f>
        <v>2.5</v>
      </c>
      <c r="BB33">
        <f>AVERAGE(AQ33:AY33)</f>
        <v>17.777777777777779</v>
      </c>
      <c r="BC33">
        <v>30</v>
      </c>
    </row>
    <row r="34" spans="1:55" x14ac:dyDescent="0.25">
      <c r="N34" s="37" t="s">
        <v>224</v>
      </c>
      <c r="O34">
        <f>AVERAGE(O31:O33)</f>
        <v>33.111111111111107</v>
      </c>
      <c r="P34">
        <f>AVERAGE(P31:P33)</f>
        <v>37.43333333333333</v>
      </c>
      <c r="AG34" s="37" t="s">
        <v>224</v>
      </c>
      <c r="AH34">
        <f>AVERAGE(AH31:AH33)</f>
        <v>104.44444444444446</v>
      </c>
      <c r="AI34">
        <f>AVERAGE(AI31:AI33)</f>
        <v>86.100000000000009</v>
      </c>
    </row>
    <row r="37" spans="1:55" x14ac:dyDescent="0.25">
      <c r="A37" s="97" t="s">
        <v>187</v>
      </c>
      <c r="B37" s="43" t="s">
        <v>279</v>
      </c>
      <c r="C37" s="43">
        <v>12</v>
      </c>
      <c r="D37" s="58" t="s">
        <v>96</v>
      </c>
      <c r="E37" s="58">
        <v>27</v>
      </c>
      <c r="F37" s="3">
        <v>30</v>
      </c>
      <c r="G37" s="3">
        <v>34</v>
      </c>
      <c r="H37" s="3">
        <v>17</v>
      </c>
      <c r="I37" s="4">
        <v>21</v>
      </c>
      <c r="J37" s="4">
        <v>27</v>
      </c>
      <c r="K37" s="3">
        <v>33</v>
      </c>
      <c r="L37" s="4">
        <v>22</v>
      </c>
      <c r="M37" s="4">
        <v>27</v>
      </c>
      <c r="N37" s="4">
        <v>17</v>
      </c>
      <c r="O37">
        <f>AVERAGE(L37:N37)</f>
        <v>22</v>
      </c>
      <c r="P37">
        <f>AVERAGE(E37:N37)</f>
        <v>25.5</v>
      </c>
      <c r="Q37" s="39" t="s">
        <v>225</v>
      </c>
      <c r="T37" s="97" t="s">
        <v>187</v>
      </c>
      <c r="U37" s="43" t="s">
        <v>279</v>
      </c>
      <c r="V37" s="43">
        <v>12</v>
      </c>
      <c r="W37" s="58" t="s">
        <v>96</v>
      </c>
      <c r="X37" s="58">
        <v>53</v>
      </c>
      <c r="Y37" s="3">
        <v>75</v>
      </c>
      <c r="Z37" s="3">
        <v>48</v>
      </c>
      <c r="AA37" s="3">
        <v>37</v>
      </c>
      <c r="AB37" s="4">
        <v>50</v>
      </c>
      <c r="AC37" s="4">
        <v>61</v>
      </c>
      <c r="AD37" s="3">
        <v>83</v>
      </c>
      <c r="AE37" s="4">
        <v>28</v>
      </c>
      <c r="AF37" s="4">
        <v>57</v>
      </c>
      <c r="AG37" s="4">
        <v>27</v>
      </c>
      <c r="AH37">
        <f>AVERAGE(AE37:AG37)</f>
        <v>37.333333333333336</v>
      </c>
      <c r="AI37">
        <f>AVERAGE(X37:AG37)</f>
        <v>51.9</v>
      </c>
      <c r="AJ37" s="39" t="s">
        <v>225</v>
      </c>
      <c r="AM37" s="97" t="s">
        <v>187</v>
      </c>
      <c r="AN37" s="43" t="s">
        <v>279</v>
      </c>
      <c r="AO37" s="43">
        <v>12</v>
      </c>
      <c r="AP37" s="58" t="s">
        <v>96</v>
      </c>
      <c r="AQ37" s="58">
        <v>50</v>
      </c>
      <c r="AR37" s="3">
        <v>51</v>
      </c>
      <c r="AS37" s="3">
        <v>52</v>
      </c>
      <c r="AT37" s="3">
        <v>17</v>
      </c>
      <c r="AU37" s="4">
        <v>49</v>
      </c>
      <c r="AV37" s="4">
        <v>27</v>
      </c>
      <c r="AW37" s="3">
        <v>35</v>
      </c>
      <c r="AX37" s="4">
        <v>35</v>
      </c>
      <c r="AY37" s="4">
        <v>17</v>
      </c>
      <c r="AZ37" s="4"/>
      <c r="BA37">
        <f>AVERAGE(AX37:AY37)</f>
        <v>26</v>
      </c>
      <c r="BB37">
        <f>AVERAGE(AQ37:AY37)</f>
        <v>37</v>
      </c>
      <c r="BC37" t="s">
        <v>225</v>
      </c>
    </row>
    <row r="38" spans="1:55" x14ac:dyDescent="0.25">
      <c r="A38" s="97" t="s">
        <v>189</v>
      </c>
      <c r="B38" s="43" t="s">
        <v>279</v>
      </c>
      <c r="C38" s="43">
        <v>14</v>
      </c>
      <c r="D38" s="58" t="s">
        <v>96</v>
      </c>
      <c r="E38" s="118">
        <v>11</v>
      </c>
      <c r="F38" s="3">
        <v>18</v>
      </c>
      <c r="G38" s="3">
        <v>44</v>
      </c>
      <c r="H38" s="3">
        <v>50</v>
      </c>
      <c r="I38" s="4">
        <v>69</v>
      </c>
      <c r="J38" s="4">
        <v>59</v>
      </c>
      <c r="K38" s="31">
        <v>50</v>
      </c>
      <c r="L38" s="4">
        <v>38</v>
      </c>
      <c r="M38" s="4">
        <v>86</v>
      </c>
      <c r="N38" s="4">
        <v>51</v>
      </c>
      <c r="O38">
        <f>AVERAGE(L38:M38)</f>
        <v>62</v>
      </c>
      <c r="P38">
        <f>AVERAGE(E38:M38)</f>
        <v>47.222222222222221</v>
      </c>
      <c r="Q38" s="39" t="s">
        <v>225</v>
      </c>
      <c r="T38" s="97" t="s">
        <v>189</v>
      </c>
      <c r="U38" s="43" t="s">
        <v>279</v>
      </c>
      <c r="V38" s="43">
        <v>14</v>
      </c>
      <c r="W38" s="58" t="s">
        <v>96</v>
      </c>
      <c r="X38" s="118">
        <v>21</v>
      </c>
      <c r="Y38" s="3">
        <v>76</v>
      </c>
      <c r="Z38" s="3">
        <v>145</v>
      </c>
      <c r="AA38" s="3">
        <v>213</v>
      </c>
      <c r="AB38" s="4">
        <v>322</v>
      </c>
      <c r="AC38" s="4">
        <v>290</v>
      </c>
      <c r="AD38" s="31">
        <v>215</v>
      </c>
      <c r="AE38" s="4">
        <v>172</v>
      </c>
      <c r="AF38" s="4">
        <v>340</v>
      </c>
      <c r="AG38" s="4">
        <v>334</v>
      </c>
      <c r="AH38">
        <f>AVERAGE(AE38:AF38)</f>
        <v>256</v>
      </c>
      <c r="AI38">
        <f>AVERAGE(X38:AF38)</f>
        <v>199.33333333333334</v>
      </c>
      <c r="AJ38" s="39" t="s">
        <v>225</v>
      </c>
      <c r="AM38" s="97" t="s">
        <v>189</v>
      </c>
      <c r="AN38" s="43" t="s">
        <v>279</v>
      </c>
      <c r="AO38" s="43">
        <v>14</v>
      </c>
      <c r="AP38" s="58" t="s">
        <v>96</v>
      </c>
      <c r="AQ38" s="118">
        <v>23</v>
      </c>
      <c r="AR38" s="3">
        <v>11</v>
      </c>
      <c r="AS38" s="3">
        <v>7</v>
      </c>
      <c r="AT38" s="3">
        <v>6</v>
      </c>
      <c r="AU38" s="4">
        <v>9</v>
      </c>
      <c r="AV38" s="4">
        <v>14</v>
      </c>
      <c r="AW38" s="31">
        <v>30</v>
      </c>
      <c r="AX38" s="4">
        <v>2</v>
      </c>
      <c r="AY38" s="4">
        <v>48</v>
      </c>
      <c r="AZ38" s="4"/>
      <c r="BA38">
        <f>AVERAGE(AX38:AY38)</f>
        <v>25</v>
      </c>
      <c r="BB38">
        <f>AVERAGE(AQ38:AY38)</f>
        <v>16.666666666666668</v>
      </c>
      <c r="BC38" t="s">
        <v>225</v>
      </c>
    </row>
    <row r="39" spans="1:55" x14ac:dyDescent="0.25">
      <c r="N39" s="37" t="s">
        <v>224</v>
      </c>
      <c r="O39">
        <f>AVERAGE(O37:O38)</f>
        <v>42</v>
      </c>
      <c r="P39">
        <f>AVERAGE(P37:P38)</f>
        <v>36.361111111111114</v>
      </c>
      <c r="AG39" s="37" t="s">
        <v>224</v>
      </c>
      <c r="AH39">
        <f>AVERAGE(AH37:AH38)</f>
        <v>146.66666666666666</v>
      </c>
      <c r="AI39">
        <f>AVERAGE(AI37:AI38)</f>
        <v>125.61666666666667</v>
      </c>
    </row>
    <row r="46" spans="1:55" x14ac:dyDescent="0.25">
      <c r="A46" s="7" t="s">
        <v>215</v>
      </c>
      <c r="B46" s="7" t="s">
        <v>276</v>
      </c>
      <c r="C46" s="7" t="s">
        <v>216</v>
      </c>
      <c r="D46" s="7" t="s">
        <v>8</v>
      </c>
      <c r="E46" s="8">
        <v>44438</v>
      </c>
      <c r="F46" s="8">
        <v>44439</v>
      </c>
      <c r="G46" s="8">
        <v>44440</v>
      </c>
      <c r="H46" s="8">
        <v>44441</v>
      </c>
      <c r="I46" s="8">
        <v>44442</v>
      </c>
      <c r="J46" s="8">
        <v>44443</v>
      </c>
      <c r="K46" s="8">
        <v>44444</v>
      </c>
      <c r="L46" s="8">
        <v>44445</v>
      </c>
      <c r="M46" s="8">
        <v>44447</v>
      </c>
      <c r="N46" s="8">
        <v>44448</v>
      </c>
      <c r="O46" s="37" t="s">
        <v>221</v>
      </c>
      <c r="P46" s="37" t="s">
        <v>222</v>
      </c>
      <c r="Q46" t="s">
        <v>223</v>
      </c>
      <c r="T46" s="7" t="s">
        <v>215</v>
      </c>
      <c r="U46" s="7" t="s">
        <v>276</v>
      </c>
      <c r="V46" s="7" t="s">
        <v>216</v>
      </c>
      <c r="W46" s="7" t="s">
        <v>8</v>
      </c>
      <c r="X46" s="8">
        <v>44438</v>
      </c>
      <c r="Y46" s="8">
        <v>44439</v>
      </c>
      <c r="Z46" s="8">
        <v>44440</v>
      </c>
      <c r="AA46" s="8">
        <v>44441</v>
      </c>
      <c r="AB46" s="8">
        <v>44442</v>
      </c>
      <c r="AC46" s="8">
        <v>44443</v>
      </c>
      <c r="AD46" s="8">
        <v>44444</v>
      </c>
      <c r="AE46" s="8">
        <v>44445</v>
      </c>
      <c r="AF46" s="8">
        <v>44447</v>
      </c>
      <c r="AG46" s="8">
        <v>44448</v>
      </c>
      <c r="AH46" s="37" t="s">
        <v>221</v>
      </c>
      <c r="AI46" s="37" t="s">
        <v>222</v>
      </c>
      <c r="AJ46" t="s">
        <v>223</v>
      </c>
      <c r="AM46" s="7" t="s">
        <v>215</v>
      </c>
      <c r="AN46" s="7" t="s">
        <v>276</v>
      </c>
      <c r="AO46" s="7" t="s">
        <v>216</v>
      </c>
      <c r="AP46" s="7" t="s">
        <v>8</v>
      </c>
      <c r="AQ46" s="8">
        <v>44438</v>
      </c>
      <c r="AR46" s="8">
        <v>44439</v>
      </c>
      <c r="AS46" s="8">
        <v>44440</v>
      </c>
      <c r="AT46" s="8">
        <v>44441</v>
      </c>
      <c r="AU46" s="8">
        <v>44442</v>
      </c>
      <c r="AV46" s="8">
        <v>44443</v>
      </c>
      <c r="AW46" s="8">
        <v>44444</v>
      </c>
      <c r="AX46" s="8">
        <v>44445</v>
      </c>
      <c r="AY46" s="8">
        <v>44447</v>
      </c>
      <c r="AZ46" s="8">
        <v>44448</v>
      </c>
      <c r="BA46" s="37" t="s">
        <v>221</v>
      </c>
      <c r="BB46" s="37" t="s">
        <v>222</v>
      </c>
      <c r="BC46" t="s">
        <v>223</v>
      </c>
    </row>
    <row r="47" spans="1:55" x14ac:dyDescent="0.25">
      <c r="A47" s="96" t="s">
        <v>158</v>
      </c>
      <c r="B47" s="43" t="s">
        <v>277</v>
      </c>
      <c r="C47" s="43">
        <v>1</v>
      </c>
      <c r="D47" s="58" t="s">
        <v>19</v>
      </c>
      <c r="E47" s="58">
        <v>72</v>
      </c>
      <c r="F47" s="3">
        <v>66</v>
      </c>
      <c r="G47" s="3">
        <v>44</v>
      </c>
      <c r="H47" s="4">
        <v>33</v>
      </c>
      <c r="I47" s="4">
        <v>18</v>
      </c>
      <c r="J47" s="4">
        <v>19</v>
      </c>
      <c r="K47" s="4">
        <v>3</v>
      </c>
      <c r="L47" s="4">
        <v>2</v>
      </c>
      <c r="M47" s="4">
        <v>16</v>
      </c>
      <c r="N47" s="4">
        <v>40</v>
      </c>
      <c r="O47">
        <f>AVERAGE(L47:N47)</f>
        <v>19.333333333333332</v>
      </c>
      <c r="P47">
        <f>AVERAGE(E47:N47)</f>
        <v>31.3</v>
      </c>
      <c r="Q47" t="s">
        <v>226</v>
      </c>
      <c r="T47" s="96" t="s">
        <v>158</v>
      </c>
      <c r="U47" s="43" t="s">
        <v>277</v>
      </c>
      <c r="V47" s="43">
        <v>1</v>
      </c>
      <c r="W47" s="58" t="s">
        <v>19</v>
      </c>
      <c r="X47" s="58">
        <v>126</v>
      </c>
      <c r="Y47" s="3">
        <v>131</v>
      </c>
      <c r="Z47" s="3">
        <v>87</v>
      </c>
      <c r="AA47" s="4">
        <v>58</v>
      </c>
      <c r="AB47" s="4">
        <v>32</v>
      </c>
      <c r="AC47" s="4">
        <v>39</v>
      </c>
      <c r="AD47" s="4">
        <v>3</v>
      </c>
      <c r="AE47" s="4">
        <v>2</v>
      </c>
      <c r="AF47" s="4">
        <v>25</v>
      </c>
      <c r="AG47" s="4">
        <v>74</v>
      </c>
      <c r="AH47">
        <f>AVERAGE(AE47:AG47)</f>
        <v>33.666666666666664</v>
      </c>
      <c r="AI47">
        <f>AVERAGE(X47:AG47)</f>
        <v>57.7</v>
      </c>
      <c r="AJ47" t="s">
        <v>226</v>
      </c>
      <c r="AM47" s="96" t="s">
        <v>158</v>
      </c>
      <c r="AN47" s="43" t="s">
        <v>277</v>
      </c>
      <c r="AO47" s="43">
        <v>1</v>
      </c>
      <c r="AP47" s="58" t="s">
        <v>19</v>
      </c>
      <c r="AQ47" s="58">
        <v>88</v>
      </c>
      <c r="AR47" s="3">
        <v>56</v>
      </c>
      <c r="AS47" s="3">
        <v>30</v>
      </c>
      <c r="AT47" s="4">
        <v>58</v>
      </c>
      <c r="AU47" s="4">
        <v>16</v>
      </c>
      <c r="AV47" s="4">
        <v>6</v>
      </c>
      <c r="AW47" s="4">
        <v>8</v>
      </c>
      <c r="AX47" s="4">
        <v>22</v>
      </c>
      <c r="AY47" s="4">
        <v>21</v>
      </c>
      <c r="AZ47" s="4"/>
      <c r="BA47">
        <f t="shared" ref="BA47:BA53" si="6">AVERAGE(AX47:AY47)</f>
        <v>21.5</v>
      </c>
      <c r="BB47">
        <f t="shared" ref="BB47:BB53" si="7">AVERAGE(AQ47:AY47)</f>
        <v>33.888888888888886</v>
      </c>
    </row>
    <row r="48" spans="1:55" x14ac:dyDescent="0.25">
      <c r="A48" s="96" t="s">
        <v>161</v>
      </c>
      <c r="B48" s="43" t="s">
        <v>277</v>
      </c>
      <c r="C48" s="43">
        <v>2</v>
      </c>
      <c r="D48" s="58" t="s">
        <v>19</v>
      </c>
      <c r="E48" s="58">
        <v>19</v>
      </c>
      <c r="F48" s="3">
        <v>37</v>
      </c>
      <c r="G48" s="3">
        <v>40</v>
      </c>
      <c r="H48" s="4">
        <v>34</v>
      </c>
      <c r="I48" s="4">
        <v>22</v>
      </c>
      <c r="J48" s="4">
        <v>20</v>
      </c>
      <c r="K48" s="4">
        <v>18</v>
      </c>
      <c r="L48" s="4">
        <v>7</v>
      </c>
      <c r="M48" s="4">
        <v>16</v>
      </c>
      <c r="N48" s="4">
        <v>15</v>
      </c>
      <c r="O48">
        <f t="shared" ref="O48:O53" si="8">AVERAGE(L48:N48)</f>
        <v>12.666666666666666</v>
      </c>
      <c r="P48">
        <f t="shared" ref="P48:P53" si="9">AVERAGE(E48:N48)</f>
        <v>22.8</v>
      </c>
      <c r="Q48" t="s">
        <v>226</v>
      </c>
      <c r="T48" s="96" t="s">
        <v>161</v>
      </c>
      <c r="U48" s="43" t="s">
        <v>277</v>
      </c>
      <c r="V48" s="43">
        <v>2</v>
      </c>
      <c r="W48" s="58" t="s">
        <v>19</v>
      </c>
      <c r="X48" s="58">
        <v>32</v>
      </c>
      <c r="Y48" s="3">
        <v>59</v>
      </c>
      <c r="Z48" s="3">
        <v>46</v>
      </c>
      <c r="AA48" s="4">
        <v>44</v>
      </c>
      <c r="AB48" s="4">
        <v>28</v>
      </c>
      <c r="AC48" s="4">
        <v>26</v>
      </c>
      <c r="AD48" s="4">
        <v>23</v>
      </c>
      <c r="AE48" s="4">
        <v>8</v>
      </c>
      <c r="AF48" s="4">
        <v>25</v>
      </c>
      <c r="AG48" s="4">
        <v>17</v>
      </c>
      <c r="AH48">
        <f t="shared" ref="AH48:AH53" si="10">AVERAGE(AE48:AG48)</f>
        <v>16.666666666666668</v>
      </c>
      <c r="AI48">
        <f t="shared" ref="AI48:AI53" si="11">AVERAGE(X48:AG48)</f>
        <v>30.8</v>
      </c>
      <c r="AJ48" t="s">
        <v>226</v>
      </c>
      <c r="AM48" s="96" t="s">
        <v>161</v>
      </c>
      <c r="AN48" s="43" t="s">
        <v>277</v>
      </c>
      <c r="AO48" s="43">
        <v>2</v>
      </c>
      <c r="AP48" s="58" t="s">
        <v>19</v>
      </c>
      <c r="AQ48" s="58">
        <v>20</v>
      </c>
      <c r="AR48" s="3">
        <v>42</v>
      </c>
      <c r="AS48" s="3">
        <v>40</v>
      </c>
      <c r="AT48" s="4">
        <v>35</v>
      </c>
      <c r="AU48" s="4">
        <v>9</v>
      </c>
      <c r="AV48" s="4">
        <v>4</v>
      </c>
      <c r="AW48" s="4">
        <v>12</v>
      </c>
      <c r="AX48" s="4">
        <v>8</v>
      </c>
      <c r="AY48" s="4">
        <v>4</v>
      </c>
      <c r="AZ48" s="4"/>
      <c r="BA48">
        <f t="shared" si="6"/>
        <v>6</v>
      </c>
      <c r="BB48">
        <f t="shared" si="7"/>
        <v>19.333333333333332</v>
      </c>
    </row>
    <row r="49" spans="1:54" x14ac:dyDescent="0.25">
      <c r="A49" s="97" t="s">
        <v>173</v>
      </c>
      <c r="B49" s="43" t="s">
        <v>278</v>
      </c>
      <c r="C49" s="43">
        <v>6</v>
      </c>
      <c r="D49" s="58" t="s">
        <v>19</v>
      </c>
      <c r="E49" s="58">
        <v>17</v>
      </c>
      <c r="F49" s="31">
        <v>50</v>
      </c>
      <c r="G49" s="3">
        <v>37</v>
      </c>
      <c r="H49" s="4">
        <v>26</v>
      </c>
      <c r="I49" s="4">
        <v>12</v>
      </c>
      <c r="J49" s="4">
        <v>4</v>
      </c>
      <c r="K49" s="4">
        <v>10</v>
      </c>
      <c r="L49" s="4">
        <v>6</v>
      </c>
      <c r="M49" s="4">
        <v>24</v>
      </c>
      <c r="N49" s="4">
        <v>36</v>
      </c>
      <c r="O49">
        <f t="shared" si="8"/>
        <v>22</v>
      </c>
      <c r="P49">
        <f t="shared" si="9"/>
        <v>22.2</v>
      </c>
      <c r="Q49" t="s">
        <v>226</v>
      </c>
      <c r="T49" s="97" t="s">
        <v>173</v>
      </c>
      <c r="U49" s="43" t="s">
        <v>278</v>
      </c>
      <c r="V49" s="43">
        <v>6</v>
      </c>
      <c r="W49" s="58" t="s">
        <v>19</v>
      </c>
      <c r="X49" s="58">
        <v>30</v>
      </c>
      <c r="Y49" s="31">
        <v>72</v>
      </c>
      <c r="Z49" s="3">
        <v>58</v>
      </c>
      <c r="AA49" s="4">
        <v>44</v>
      </c>
      <c r="AB49" s="4">
        <v>15</v>
      </c>
      <c r="AC49" s="4">
        <v>5</v>
      </c>
      <c r="AD49" s="4">
        <v>10</v>
      </c>
      <c r="AE49" s="4">
        <v>7</v>
      </c>
      <c r="AF49" s="4">
        <v>38</v>
      </c>
      <c r="AG49" s="4">
        <v>65</v>
      </c>
      <c r="AH49">
        <f t="shared" si="10"/>
        <v>36.666666666666664</v>
      </c>
      <c r="AI49">
        <f t="shared" si="11"/>
        <v>34.4</v>
      </c>
      <c r="AJ49" t="s">
        <v>226</v>
      </c>
      <c r="AM49" s="97" t="s">
        <v>173</v>
      </c>
      <c r="AN49" s="43" t="s">
        <v>278</v>
      </c>
      <c r="AO49" s="43">
        <v>6</v>
      </c>
      <c r="AP49" s="58" t="s">
        <v>19</v>
      </c>
      <c r="AQ49" s="58">
        <v>33</v>
      </c>
      <c r="AR49" s="31">
        <v>7</v>
      </c>
      <c r="AS49" s="3">
        <v>31</v>
      </c>
      <c r="AT49" s="4">
        <v>10</v>
      </c>
      <c r="AU49" s="4">
        <v>12</v>
      </c>
      <c r="AV49" s="4">
        <v>1</v>
      </c>
      <c r="AW49" s="4">
        <v>22</v>
      </c>
      <c r="AX49" s="4">
        <v>18</v>
      </c>
      <c r="AY49" s="4">
        <v>19</v>
      </c>
      <c r="AZ49" s="4"/>
      <c r="BA49">
        <f t="shared" si="6"/>
        <v>18.5</v>
      </c>
      <c r="BB49">
        <f t="shared" si="7"/>
        <v>17</v>
      </c>
    </row>
    <row r="50" spans="1:54" x14ac:dyDescent="0.25">
      <c r="A50" s="97" t="s">
        <v>182</v>
      </c>
      <c r="B50" s="43" t="s">
        <v>278</v>
      </c>
      <c r="C50" s="43">
        <v>9</v>
      </c>
      <c r="D50" s="58" t="s">
        <v>19</v>
      </c>
      <c r="E50" s="62">
        <v>6</v>
      </c>
      <c r="F50" s="3">
        <v>8</v>
      </c>
      <c r="G50" s="31">
        <v>3</v>
      </c>
      <c r="H50" s="31">
        <v>10</v>
      </c>
      <c r="I50" s="4">
        <v>10</v>
      </c>
      <c r="J50" s="4">
        <v>10</v>
      </c>
      <c r="K50" s="31">
        <v>13</v>
      </c>
      <c r="L50" s="4">
        <v>13</v>
      </c>
      <c r="M50" s="4">
        <v>31</v>
      </c>
      <c r="N50" s="4">
        <v>23</v>
      </c>
      <c r="O50">
        <f t="shared" si="8"/>
        <v>22.333333333333332</v>
      </c>
      <c r="P50">
        <f t="shared" si="9"/>
        <v>12.7</v>
      </c>
      <c r="Q50" t="s">
        <v>226</v>
      </c>
      <c r="T50" s="97" t="s">
        <v>182</v>
      </c>
      <c r="U50" s="43" t="s">
        <v>278</v>
      </c>
      <c r="V50" s="43">
        <v>9</v>
      </c>
      <c r="W50" s="58" t="s">
        <v>19</v>
      </c>
      <c r="X50" s="62">
        <v>9</v>
      </c>
      <c r="Y50" s="3">
        <v>9</v>
      </c>
      <c r="Z50" s="31">
        <v>4</v>
      </c>
      <c r="AA50" s="31">
        <v>11</v>
      </c>
      <c r="AB50" s="4">
        <v>11</v>
      </c>
      <c r="AC50" s="4">
        <v>12</v>
      </c>
      <c r="AD50" s="31">
        <v>16</v>
      </c>
      <c r="AE50" s="4">
        <v>14</v>
      </c>
      <c r="AF50" s="4">
        <v>31</v>
      </c>
      <c r="AG50" s="4">
        <v>23</v>
      </c>
      <c r="AH50">
        <f t="shared" si="10"/>
        <v>22.666666666666668</v>
      </c>
      <c r="AI50">
        <f t="shared" si="11"/>
        <v>14</v>
      </c>
      <c r="AJ50" t="s">
        <v>226</v>
      </c>
      <c r="AM50" s="97" t="s">
        <v>182</v>
      </c>
      <c r="AN50" s="43" t="s">
        <v>278</v>
      </c>
      <c r="AO50" s="43">
        <v>9</v>
      </c>
      <c r="AP50" s="58" t="s">
        <v>19</v>
      </c>
      <c r="AQ50" s="62">
        <v>6</v>
      </c>
      <c r="AR50" s="3">
        <v>14</v>
      </c>
      <c r="AS50" s="31">
        <v>17</v>
      </c>
      <c r="AT50" s="31">
        <v>9</v>
      </c>
      <c r="AU50" s="4">
        <v>30</v>
      </c>
      <c r="AV50" s="4">
        <v>41</v>
      </c>
      <c r="AW50" s="31">
        <v>18</v>
      </c>
      <c r="AX50" s="4">
        <v>17</v>
      </c>
      <c r="AY50" s="4">
        <v>30</v>
      </c>
      <c r="AZ50" s="4"/>
      <c r="BA50">
        <f t="shared" si="6"/>
        <v>23.5</v>
      </c>
      <c r="BB50">
        <f t="shared" si="7"/>
        <v>20.222222222222221</v>
      </c>
    </row>
    <row r="51" spans="1:54" x14ac:dyDescent="0.25">
      <c r="A51" s="97" t="s">
        <v>185</v>
      </c>
      <c r="B51" s="43" t="s">
        <v>278</v>
      </c>
      <c r="C51" s="43">
        <v>10</v>
      </c>
      <c r="D51" s="58" t="s">
        <v>19</v>
      </c>
      <c r="E51" s="58">
        <v>34</v>
      </c>
      <c r="F51" s="3">
        <v>33</v>
      </c>
      <c r="G51" s="3">
        <v>17</v>
      </c>
      <c r="H51" s="4">
        <v>44</v>
      </c>
      <c r="I51" s="4">
        <v>32</v>
      </c>
      <c r="J51" s="4">
        <v>20</v>
      </c>
      <c r="K51" s="4">
        <v>8</v>
      </c>
      <c r="L51" s="4">
        <v>9</v>
      </c>
      <c r="M51" s="4">
        <v>46</v>
      </c>
      <c r="N51" s="4">
        <v>9</v>
      </c>
      <c r="O51">
        <f t="shared" si="8"/>
        <v>21.333333333333332</v>
      </c>
      <c r="P51">
        <f t="shared" si="9"/>
        <v>25.2</v>
      </c>
      <c r="Q51" t="s">
        <v>226</v>
      </c>
      <c r="T51" s="97" t="s">
        <v>185</v>
      </c>
      <c r="U51" s="43" t="s">
        <v>278</v>
      </c>
      <c r="V51" s="43">
        <v>10</v>
      </c>
      <c r="W51" s="58" t="s">
        <v>19</v>
      </c>
      <c r="X51" s="58">
        <v>55</v>
      </c>
      <c r="Y51" s="3">
        <v>47</v>
      </c>
      <c r="Z51" s="3">
        <v>22</v>
      </c>
      <c r="AA51" s="4">
        <v>59</v>
      </c>
      <c r="AB51" s="4">
        <v>76</v>
      </c>
      <c r="AC51" s="4">
        <v>23</v>
      </c>
      <c r="AD51" s="4">
        <v>9</v>
      </c>
      <c r="AE51" s="4">
        <v>10</v>
      </c>
      <c r="AF51" s="4">
        <v>59</v>
      </c>
      <c r="AG51" s="4">
        <v>10</v>
      </c>
      <c r="AH51">
        <f t="shared" si="10"/>
        <v>26.333333333333332</v>
      </c>
      <c r="AI51">
        <f t="shared" si="11"/>
        <v>37</v>
      </c>
      <c r="AJ51" t="s">
        <v>226</v>
      </c>
      <c r="AM51" s="97" t="s">
        <v>185</v>
      </c>
      <c r="AN51" s="43" t="s">
        <v>278</v>
      </c>
      <c r="AO51" s="43">
        <v>10</v>
      </c>
      <c r="AP51" s="58" t="s">
        <v>19</v>
      </c>
      <c r="AQ51" s="58">
        <v>24</v>
      </c>
      <c r="AR51" s="3">
        <v>18</v>
      </c>
      <c r="AS51" s="3">
        <v>8</v>
      </c>
      <c r="AT51" s="4">
        <v>16</v>
      </c>
      <c r="AU51" s="4">
        <v>17</v>
      </c>
      <c r="AV51" s="4">
        <v>7</v>
      </c>
      <c r="AW51" s="4">
        <v>3</v>
      </c>
      <c r="AX51" s="4">
        <v>6</v>
      </c>
      <c r="AY51" s="4">
        <v>15</v>
      </c>
      <c r="AZ51" s="4"/>
      <c r="BA51">
        <f t="shared" si="6"/>
        <v>10.5</v>
      </c>
      <c r="BB51">
        <f t="shared" si="7"/>
        <v>12.666666666666666</v>
      </c>
    </row>
    <row r="52" spans="1:54" x14ac:dyDescent="0.25">
      <c r="A52" s="96" t="s">
        <v>190</v>
      </c>
      <c r="B52" s="43" t="s">
        <v>280</v>
      </c>
      <c r="C52" s="43">
        <v>15</v>
      </c>
      <c r="D52" s="58" t="s">
        <v>19</v>
      </c>
      <c r="E52" s="119">
        <v>22</v>
      </c>
      <c r="F52" s="76">
        <v>25</v>
      </c>
      <c r="G52" s="76">
        <v>39</v>
      </c>
      <c r="H52" s="76">
        <v>27</v>
      </c>
      <c r="I52" s="76">
        <v>44</v>
      </c>
      <c r="J52" s="76">
        <v>47</v>
      </c>
      <c r="K52" s="76">
        <v>0</v>
      </c>
      <c r="L52" s="4">
        <v>30</v>
      </c>
      <c r="M52" s="76">
        <v>42</v>
      </c>
      <c r="N52" s="4">
        <v>24</v>
      </c>
      <c r="O52">
        <f t="shared" si="8"/>
        <v>32</v>
      </c>
      <c r="P52">
        <f t="shared" si="9"/>
        <v>30</v>
      </c>
      <c r="Q52" t="s">
        <v>226</v>
      </c>
      <c r="T52" s="96" t="s">
        <v>190</v>
      </c>
      <c r="U52" s="43" t="s">
        <v>280</v>
      </c>
      <c r="V52" s="43">
        <v>15</v>
      </c>
      <c r="W52" s="58" t="s">
        <v>19</v>
      </c>
      <c r="X52" s="119">
        <v>61</v>
      </c>
      <c r="Y52" s="76">
        <v>71</v>
      </c>
      <c r="Z52" s="76">
        <v>72</v>
      </c>
      <c r="AA52" s="76">
        <v>51</v>
      </c>
      <c r="AB52" s="76">
        <v>77</v>
      </c>
      <c r="AC52" s="76">
        <v>88</v>
      </c>
      <c r="AD52" s="76">
        <v>0</v>
      </c>
      <c r="AE52" s="4">
        <v>45</v>
      </c>
      <c r="AF52" s="76">
        <v>67</v>
      </c>
      <c r="AG52" s="4">
        <v>48</v>
      </c>
      <c r="AH52">
        <f t="shared" si="10"/>
        <v>53.333333333333336</v>
      </c>
      <c r="AI52">
        <f t="shared" si="11"/>
        <v>58</v>
      </c>
      <c r="AJ52" t="s">
        <v>226</v>
      </c>
      <c r="AM52" s="96" t="s">
        <v>190</v>
      </c>
      <c r="AN52" s="43" t="s">
        <v>280</v>
      </c>
      <c r="AO52" s="43">
        <v>15</v>
      </c>
      <c r="AP52" s="58" t="s">
        <v>19</v>
      </c>
      <c r="AQ52" s="119">
        <v>38</v>
      </c>
      <c r="AR52" s="76">
        <v>32</v>
      </c>
      <c r="AS52" s="76">
        <v>19</v>
      </c>
      <c r="AT52" s="76">
        <v>15</v>
      </c>
      <c r="AU52" s="76">
        <v>6</v>
      </c>
      <c r="AV52" s="76">
        <v>33</v>
      </c>
      <c r="AW52" s="76">
        <v>0</v>
      </c>
      <c r="AX52" s="4">
        <v>12</v>
      </c>
      <c r="AY52" s="76">
        <v>120</v>
      </c>
      <c r="AZ52" s="4"/>
      <c r="BA52">
        <f t="shared" si="6"/>
        <v>66</v>
      </c>
      <c r="BB52">
        <f t="shared" si="7"/>
        <v>30.555555555555557</v>
      </c>
    </row>
    <row r="53" spans="1:54" x14ac:dyDescent="0.25">
      <c r="A53" s="96" t="s">
        <v>191</v>
      </c>
      <c r="B53" s="43" t="s">
        <v>280</v>
      </c>
      <c r="C53" s="43">
        <v>16</v>
      </c>
      <c r="D53" s="58" t="s">
        <v>19</v>
      </c>
      <c r="E53" s="58">
        <v>11</v>
      </c>
      <c r="F53" s="121">
        <v>13</v>
      </c>
      <c r="G53" s="31">
        <v>13</v>
      </c>
      <c r="H53" s="3">
        <v>17</v>
      </c>
      <c r="I53" s="4">
        <v>19</v>
      </c>
      <c r="J53" s="4">
        <v>35</v>
      </c>
      <c r="K53" s="31">
        <v>38</v>
      </c>
      <c r="L53" s="46">
        <v>28</v>
      </c>
      <c r="M53" s="46">
        <v>39</v>
      </c>
      <c r="N53" s="4">
        <v>28</v>
      </c>
      <c r="O53">
        <f t="shared" si="8"/>
        <v>31.666666666666668</v>
      </c>
      <c r="P53">
        <f t="shared" si="9"/>
        <v>24.1</v>
      </c>
      <c r="Q53" t="s">
        <v>226</v>
      </c>
      <c r="T53" s="96" t="s">
        <v>191</v>
      </c>
      <c r="U53" s="43" t="s">
        <v>280</v>
      </c>
      <c r="V53" s="43">
        <v>16</v>
      </c>
      <c r="W53" s="58" t="s">
        <v>19</v>
      </c>
      <c r="X53" s="58">
        <v>19</v>
      </c>
      <c r="Y53" s="121">
        <v>16</v>
      </c>
      <c r="Z53" s="31">
        <v>20</v>
      </c>
      <c r="AA53" s="3">
        <v>38</v>
      </c>
      <c r="AB53" s="4">
        <v>34</v>
      </c>
      <c r="AC53" s="4">
        <v>55</v>
      </c>
      <c r="AD53" s="31">
        <v>75</v>
      </c>
      <c r="AE53" s="46">
        <v>54</v>
      </c>
      <c r="AF53" s="46">
        <v>60</v>
      </c>
      <c r="AG53" s="4">
        <v>45</v>
      </c>
      <c r="AH53">
        <f t="shared" si="10"/>
        <v>53</v>
      </c>
      <c r="AI53">
        <f t="shared" si="11"/>
        <v>41.6</v>
      </c>
      <c r="AJ53" t="s">
        <v>226</v>
      </c>
      <c r="AM53" s="96" t="s">
        <v>191</v>
      </c>
      <c r="AN53" s="43" t="s">
        <v>280</v>
      </c>
      <c r="AO53" s="43">
        <v>16</v>
      </c>
      <c r="AP53" s="58" t="s">
        <v>19</v>
      </c>
      <c r="AQ53" s="58">
        <v>21</v>
      </c>
      <c r="AR53" s="121">
        <v>2</v>
      </c>
      <c r="AS53" s="31">
        <v>18</v>
      </c>
      <c r="AT53" s="3">
        <v>9</v>
      </c>
      <c r="AU53" s="4">
        <v>11</v>
      </c>
      <c r="AV53" s="4">
        <v>14</v>
      </c>
      <c r="AW53" s="31">
        <v>1</v>
      </c>
      <c r="AX53" s="46">
        <v>4</v>
      </c>
      <c r="AY53" s="46">
        <v>4</v>
      </c>
      <c r="AZ53" s="4"/>
      <c r="BA53">
        <f t="shared" si="6"/>
        <v>4</v>
      </c>
      <c r="BB53">
        <f t="shared" si="7"/>
        <v>9.3333333333333339</v>
      </c>
    </row>
  </sheetData>
  <sortState xmlns:xlrd2="http://schemas.microsoft.com/office/spreadsheetml/2017/richdata2" ref="AM24:BC38">
    <sortCondition ref="BC24:BC38"/>
    <sortCondition ref="AO24:AO38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K204"/>
  <sheetViews>
    <sheetView zoomScale="60" zoomScaleNormal="60" workbookViewId="0">
      <selection activeCell="I25" sqref="I25"/>
    </sheetView>
  </sheetViews>
  <sheetFormatPr defaultColWidth="9.140625" defaultRowHeight="18.75" x14ac:dyDescent="0.3"/>
  <cols>
    <col min="1" max="1" width="20" style="15" bestFit="1" customWidth="1"/>
    <col min="2" max="2" width="13.140625" style="15" bestFit="1" customWidth="1"/>
    <col min="3" max="3" width="13.28515625" style="15" bestFit="1" customWidth="1"/>
    <col min="4" max="4" width="15" style="15" customWidth="1"/>
    <col min="5" max="5" width="18.42578125" style="15" customWidth="1"/>
    <col min="6" max="6" width="11.42578125" style="15" customWidth="1"/>
    <col min="7" max="7" width="76.7109375" style="15" bestFit="1" customWidth="1"/>
    <col min="8" max="8" width="5.5703125" style="15" bestFit="1" customWidth="1"/>
    <col min="9" max="9" width="9.42578125" style="15" bestFit="1" customWidth="1"/>
    <col min="10" max="10" width="12" style="15" bestFit="1" customWidth="1"/>
    <col min="11" max="11" width="68.140625" style="15" customWidth="1"/>
    <col min="12" max="16384" width="9.140625" style="15"/>
  </cols>
  <sheetData>
    <row r="2" spans="1:11" x14ac:dyDescent="0.3">
      <c r="D2" s="15" t="s">
        <v>284</v>
      </c>
      <c r="E2" s="15" t="s">
        <v>285</v>
      </c>
    </row>
    <row r="3" spans="1:11" ht="21" x14ac:dyDescent="0.35">
      <c r="A3" s="21" t="s">
        <v>286</v>
      </c>
      <c r="C3" s="27"/>
      <c r="D3" s="61" t="s">
        <v>287</v>
      </c>
      <c r="F3" s="22" t="s">
        <v>204</v>
      </c>
      <c r="G3" s="23" t="s">
        <v>288</v>
      </c>
      <c r="H3" s="24"/>
      <c r="I3" s="24"/>
      <c r="J3" s="24"/>
      <c r="K3" s="24" t="s">
        <v>289</v>
      </c>
    </row>
    <row r="4" spans="1:11" ht="21" x14ac:dyDescent="0.35">
      <c r="A4" s="105" t="s">
        <v>215</v>
      </c>
      <c r="B4" s="106" t="s">
        <v>276</v>
      </c>
      <c r="C4" s="107" t="s">
        <v>216</v>
      </c>
      <c r="D4" s="25" t="s">
        <v>8</v>
      </c>
      <c r="E4" s="25" t="s">
        <v>290</v>
      </c>
      <c r="F4" s="25" t="s">
        <v>291</v>
      </c>
      <c r="G4" s="25" t="s">
        <v>292</v>
      </c>
      <c r="H4" s="108" t="s">
        <v>293</v>
      </c>
      <c r="I4" s="109" t="s">
        <v>294</v>
      </c>
      <c r="J4" s="109" t="s">
        <v>295</v>
      </c>
      <c r="K4" s="25" t="s">
        <v>296</v>
      </c>
    </row>
    <row r="5" spans="1:11" ht="23.25" x14ac:dyDescent="0.35">
      <c r="A5" s="110" t="s">
        <v>158</v>
      </c>
      <c r="B5" s="60" t="s">
        <v>277</v>
      </c>
      <c r="C5" s="111">
        <v>1</v>
      </c>
      <c r="D5" s="111" t="s">
        <v>19</v>
      </c>
      <c r="E5" s="111" t="s">
        <v>19</v>
      </c>
      <c r="F5" s="100"/>
      <c r="G5" s="101" t="s">
        <v>202</v>
      </c>
      <c r="H5" s="101"/>
      <c r="I5" s="101"/>
      <c r="J5" s="101"/>
      <c r="K5" s="101"/>
    </row>
    <row r="6" spans="1:11" ht="23.25" x14ac:dyDescent="0.35">
      <c r="A6" s="110" t="s">
        <v>161</v>
      </c>
      <c r="B6" s="60" t="s">
        <v>277</v>
      </c>
      <c r="C6" s="111">
        <v>2</v>
      </c>
      <c r="D6" s="111" t="s">
        <v>19</v>
      </c>
      <c r="E6" s="111" t="s">
        <v>19</v>
      </c>
      <c r="F6" s="100"/>
      <c r="G6" s="101" t="s">
        <v>202</v>
      </c>
      <c r="H6" s="101"/>
      <c r="I6" s="101"/>
      <c r="J6" s="101"/>
      <c r="K6" s="101"/>
    </row>
    <row r="7" spans="1:11" ht="23.25" x14ac:dyDescent="0.35">
      <c r="A7" s="102" t="s">
        <v>164</v>
      </c>
      <c r="B7" s="59" t="s">
        <v>278</v>
      </c>
      <c r="C7" s="100">
        <v>3</v>
      </c>
      <c r="D7" s="100" t="s">
        <v>96</v>
      </c>
      <c r="E7" s="99" t="s">
        <v>297</v>
      </c>
      <c r="F7" s="99"/>
      <c r="G7" s="101" t="s">
        <v>202</v>
      </c>
      <c r="H7" s="101"/>
      <c r="I7" s="101"/>
      <c r="J7" s="101"/>
      <c r="K7" s="101"/>
    </row>
    <row r="8" spans="1:11" ht="23.25" x14ac:dyDescent="0.35">
      <c r="A8" s="102" t="s">
        <v>167</v>
      </c>
      <c r="B8" s="59" t="s">
        <v>278</v>
      </c>
      <c r="C8" s="100">
        <v>4</v>
      </c>
      <c r="D8" s="100" t="s">
        <v>96</v>
      </c>
      <c r="E8" s="99" t="s">
        <v>298</v>
      </c>
      <c r="F8" s="99"/>
      <c r="G8" s="101" t="s">
        <v>202</v>
      </c>
      <c r="H8" s="101"/>
      <c r="I8" s="101"/>
      <c r="J8" s="101"/>
      <c r="K8" s="101"/>
    </row>
    <row r="9" spans="1:11" ht="23.25" x14ac:dyDescent="0.35">
      <c r="A9" s="102" t="s">
        <v>170</v>
      </c>
      <c r="B9" s="59" t="s">
        <v>278</v>
      </c>
      <c r="C9" s="100">
        <v>5</v>
      </c>
      <c r="D9" s="100" t="s">
        <v>96</v>
      </c>
      <c r="E9" s="99" t="s">
        <v>298</v>
      </c>
      <c r="F9" s="99"/>
      <c r="G9" s="101" t="s">
        <v>202</v>
      </c>
      <c r="H9" s="103"/>
      <c r="I9" s="103"/>
      <c r="J9" s="103"/>
      <c r="K9" s="103"/>
    </row>
    <row r="10" spans="1:11" ht="23.25" x14ac:dyDescent="0.35">
      <c r="A10" s="112" t="s">
        <v>173</v>
      </c>
      <c r="B10" s="60" t="s">
        <v>278</v>
      </c>
      <c r="C10" s="111">
        <v>6</v>
      </c>
      <c r="D10" s="111" t="s">
        <v>19</v>
      </c>
      <c r="E10" s="111" t="s">
        <v>19</v>
      </c>
      <c r="F10" s="100"/>
      <c r="G10" s="101" t="s">
        <v>202</v>
      </c>
      <c r="H10" s="101"/>
      <c r="I10" s="101"/>
      <c r="J10" s="101"/>
      <c r="K10" s="101"/>
    </row>
    <row r="11" spans="1:11" ht="23.25" x14ac:dyDescent="0.35">
      <c r="A11" s="102" t="s">
        <v>176</v>
      </c>
      <c r="B11" s="59" t="s">
        <v>278</v>
      </c>
      <c r="C11" s="100">
        <v>7</v>
      </c>
      <c r="D11" s="100" t="s">
        <v>96</v>
      </c>
      <c r="E11" s="99" t="s">
        <v>298</v>
      </c>
      <c r="F11" s="99"/>
      <c r="G11" s="101" t="s">
        <v>202</v>
      </c>
      <c r="H11" s="101"/>
      <c r="I11" s="101"/>
      <c r="J11" s="101"/>
      <c r="K11" s="101"/>
    </row>
    <row r="12" spans="1:11" ht="46.5" x14ac:dyDescent="0.35">
      <c r="A12" s="104" t="s">
        <v>179</v>
      </c>
      <c r="B12" s="59" t="s">
        <v>278</v>
      </c>
      <c r="C12" s="100">
        <v>8</v>
      </c>
      <c r="D12" s="100" t="s">
        <v>96</v>
      </c>
      <c r="E12" s="99" t="s">
        <v>298</v>
      </c>
      <c r="F12" s="99"/>
      <c r="G12" s="101" t="s">
        <v>202</v>
      </c>
      <c r="H12" s="101"/>
      <c r="I12" s="101"/>
      <c r="J12" s="101"/>
      <c r="K12" s="101"/>
    </row>
    <row r="13" spans="1:11" ht="23.25" x14ac:dyDescent="0.35">
      <c r="A13" s="112" t="s">
        <v>182</v>
      </c>
      <c r="B13" s="60" t="s">
        <v>278</v>
      </c>
      <c r="C13" s="111">
        <v>9</v>
      </c>
      <c r="D13" s="111" t="s">
        <v>19</v>
      </c>
      <c r="E13" s="111" t="s">
        <v>19</v>
      </c>
      <c r="F13" s="100"/>
      <c r="G13" s="101" t="s">
        <v>202</v>
      </c>
      <c r="H13" s="101"/>
      <c r="I13" s="101"/>
      <c r="J13" s="101"/>
      <c r="K13" s="101"/>
    </row>
    <row r="14" spans="1:11" ht="23.25" x14ac:dyDescent="0.35">
      <c r="A14" s="112" t="s">
        <v>185</v>
      </c>
      <c r="B14" s="60" t="s">
        <v>278</v>
      </c>
      <c r="C14" s="111">
        <v>10</v>
      </c>
      <c r="D14" s="111" t="s">
        <v>19</v>
      </c>
      <c r="E14" s="111" t="s">
        <v>19</v>
      </c>
      <c r="F14" s="100"/>
      <c r="G14" s="101" t="s">
        <v>202</v>
      </c>
      <c r="H14" s="101"/>
      <c r="I14" s="101"/>
      <c r="J14" s="101"/>
      <c r="K14" s="101"/>
    </row>
    <row r="15" spans="1:11" ht="23.25" x14ac:dyDescent="0.35">
      <c r="A15" s="102" t="s">
        <v>186</v>
      </c>
      <c r="B15" s="59" t="s">
        <v>279</v>
      </c>
      <c r="C15" s="100">
        <v>11</v>
      </c>
      <c r="D15" s="100" t="s">
        <v>96</v>
      </c>
      <c r="E15" s="99" t="s">
        <v>298</v>
      </c>
      <c r="F15" s="99"/>
      <c r="G15" s="101" t="s">
        <v>202</v>
      </c>
      <c r="H15" s="101"/>
      <c r="I15" s="101"/>
      <c r="J15" s="101"/>
      <c r="K15" s="101"/>
    </row>
    <row r="16" spans="1:11" ht="23.25" x14ac:dyDescent="0.35">
      <c r="A16" s="102" t="s">
        <v>187</v>
      </c>
      <c r="B16" s="59" t="s">
        <v>279</v>
      </c>
      <c r="C16" s="100">
        <v>12</v>
      </c>
      <c r="D16" s="100" t="s">
        <v>96</v>
      </c>
      <c r="E16" s="99" t="s">
        <v>299</v>
      </c>
      <c r="F16" s="99"/>
      <c r="G16" s="101" t="s">
        <v>202</v>
      </c>
      <c r="H16" s="101"/>
      <c r="I16" s="101"/>
      <c r="J16" s="101"/>
      <c r="K16" s="101"/>
    </row>
    <row r="17" spans="1:11" ht="23.25" x14ac:dyDescent="0.35">
      <c r="A17" s="102" t="s">
        <v>188</v>
      </c>
      <c r="B17" s="59" t="s">
        <v>279</v>
      </c>
      <c r="C17" s="100">
        <v>13</v>
      </c>
      <c r="D17" s="100" t="s">
        <v>96</v>
      </c>
      <c r="E17" s="99" t="s">
        <v>298</v>
      </c>
      <c r="F17" s="99"/>
      <c r="G17" s="101" t="s">
        <v>202</v>
      </c>
      <c r="H17" s="101"/>
      <c r="I17" s="101"/>
      <c r="J17" s="101"/>
      <c r="K17" s="101"/>
    </row>
    <row r="18" spans="1:11" ht="23.25" x14ac:dyDescent="0.35">
      <c r="A18" s="102" t="s">
        <v>189</v>
      </c>
      <c r="B18" s="59" t="s">
        <v>279</v>
      </c>
      <c r="C18" s="100">
        <v>14</v>
      </c>
      <c r="D18" s="100" t="s">
        <v>96</v>
      </c>
      <c r="E18" s="99" t="s">
        <v>298</v>
      </c>
      <c r="F18" s="99"/>
      <c r="G18" s="101" t="s">
        <v>202</v>
      </c>
      <c r="H18" s="101"/>
      <c r="I18" s="101"/>
      <c r="J18" s="101"/>
      <c r="K18" s="101"/>
    </row>
    <row r="19" spans="1:11" ht="23.25" x14ac:dyDescent="0.35">
      <c r="A19" s="110" t="s">
        <v>190</v>
      </c>
      <c r="B19" s="60" t="s">
        <v>280</v>
      </c>
      <c r="C19" s="111">
        <v>15</v>
      </c>
      <c r="D19" s="111" t="s">
        <v>19</v>
      </c>
      <c r="E19" s="111" t="s">
        <v>19</v>
      </c>
      <c r="F19" s="100"/>
      <c r="G19" s="101" t="s">
        <v>202</v>
      </c>
      <c r="H19" s="101"/>
      <c r="I19" s="101"/>
      <c r="J19" s="101"/>
      <c r="K19" s="101"/>
    </row>
    <row r="20" spans="1:11" ht="23.25" x14ac:dyDescent="0.35">
      <c r="A20" s="110" t="s">
        <v>191</v>
      </c>
      <c r="B20" s="60" t="s">
        <v>280</v>
      </c>
      <c r="C20" s="111">
        <v>16</v>
      </c>
      <c r="D20" s="111" t="s">
        <v>19</v>
      </c>
      <c r="E20" s="111" t="s">
        <v>19</v>
      </c>
      <c r="F20" s="100"/>
      <c r="G20" s="101" t="s">
        <v>202</v>
      </c>
      <c r="H20" s="101"/>
      <c r="I20" s="101"/>
      <c r="J20" s="101"/>
      <c r="K20" s="101"/>
    </row>
    <row r="22" spans="1:11" customFormat="1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 customFormat="1" ht="126" x14ac:dyDescent="0.35">
      <c r="A23" s="21" t="s">
        <v>300</v>
      </c>
      <c r="B23" s="15"/>
      <c r="C23" s="27"/>
      <c r="D23" s="61"/>
      <c r="E23" s="26" t="s">
        <v>301</v>
      </c>
      <c r="F23" s="22" t="s">
        <v>205</v>
      </c>
      <c r="G23" s="24"/>
      <c r="H23" s="24"/>
      <c r="I23" s="24"/>
      <c r="J23" s="24"/>
      <c r="K23" s="24" t="s">
        <v>289</v>
      </c>
    </row>
    <row r="24" spans="1:11" customFormat="1" ht="21" x14ac:dyDescent="0.35">
      <c r="A24" s="105" t="s">
        <v>215</v>
      </c>
      <c r="B24" s="106" t="s">
        <v>276</v>
      </c>
      <c r="C24" s="107" t="s">
        <v>216</v>
      </c>
      <c r="D24" s="25" t="s">
        <v>8</v>
      </c>
      <c r="E24" s="25" t="s">
        <v>290</v>
      </c>
      <c r="F24" s="25" t="s">
        <v>291</v>
      </c>
      <c r="G24" s="25" t="s">
        <v>292</v>
      </c>
      <c r="H24" s="108" t="s">
        <v>293</v>
      </c>
      <c r="I24" s="109" t="s">
        <v>294</v>
      </c>
      <c r="J24" s="109" t="s">
        <v>295</v>
      </c>
      <c r="K24" s="25" t="s">
        <v>296</v>
      </c>
    </row>
    <row r="25" spans="1:11" customFormat="1" ht="23.25" x14ac:dyDescent="0.35">
      <c r="A25" s="110" t="s">
        <v>158</v>
      </c>
      <c r="B25" s="60" t="s">
        <v>277</v>
      </c>
      <c r="C25" s="111">
        <v>1</v>
      </c>
      <c r="D25" s="111" t="s">
        <v>19</v>
      </c>
      <c r="E25" s="111" t="s">
        <v>19</v>
      </c>
      <c r="F25" s="100"/>
      <c r="G25" s="101" t="s">
        <v>202</v>
      </c>
      <c r="H25" s="101"/>
      <c r="I25" s="101"/>
      <c r="J25" s="101"/>
      <c r="K25" s="101"/>
    </row>
    <row r="26" spans="1:11" ht="23.25" x14ac:dyDescent="0.35">
      <c r="A26" s="110" t="s">
        <v>161</v>
      </c>
      <c r="B26" s="60" t="s">
        <v>277</v>
      </c>
      <c r="C26" s="111">
        <v>2</v>
      </c>
      <c r="D26" s="111" t="s">
        <v>19</v>
      </c>
      <c r="E26" s="111" t="s">
        <v>19</v>
      </c>
      <c r="F26" s="100"/>
      <c r="G26" s="101" t="s">
        <v>202</v>
      </c>
      <c r="H26" s="101"/>
      <c r="I26" s="101"/>
      <c r="J26" s="101"/>
      <c r="K26" s="101"/>
    </row>
    <row r="27" spans="1:11" ht="23.25" x14ac:dyDescent="0.35">
      <c r="A27" s="102" t="s">
        <v>164</v>
      </c>
      <c r="B27" s="59" t="s">
        <v>278</v>
      </c>
      <c r="C27" s="100">
        <v>3</v>
      </c>
      <c r="D27" s="100" t="s">
        <v>96</v>
      </c>
      <c r="E27" s="99"/>
      <c r="F27" s="99"/>
      <c r="G27" s="101" t="s">
        <v>202</v>
      </c>
      <c r="H27" s="101"/>
      <c r="I27" s="101"/>
      <c r="J27" s="101"/>
      <c r="K27" s="101"/>
    </row>
    <row r="28" spans="1:11" ht="23.25" x14ac:dyDescent="0.35">
      <c r="A28" s="102" t="s">
        <v>167</v>
      </c>
      <c r="B28" s="59" t="s">
        <v>278</v>
      </c>
      <c r="C28" s="100">
        <v>4</v>
      </c>
      <c r="D28" s="100" t="s">
        <v>96</v>
      </c>
      <c r="E28" s="99"/>
      <c r="F28" s="99"/>
      <c r="G28" s="101" t="s">
        <v>202</v>
      </c>
      <c r="H28" s="101"/>
      <c r="I28" s="101"/>
      <c r="J28" s="101"/>
      <c r="K28" s="101"/>
    </row>
    <row r="29" spans="1:11" ht="23.25" x14ac:dyDescent="0.35">
      <c r="A29" s="102" t="s">
        <v>170</v>
      </c>
      <c r="B29" s="59" t="s">
        <v>278</v>
      </c>
      <c r="C29" s="100">
        <v>5</v>
      </c>
      <c r="D29" s="100" t="s">
        <v>96</v>
      </c>
      <c r="E29" s="99"/>
      <c r="F29" s="99"/>
      <c r="G29" s="101" t="s">
        <v>202</v>
      </c>
      <c r="H29" s="103"/>
      <c r="I29" s="103"/>
      <c r="J29" s="103"/>
      <c r="K29" s="103"/>
    </row>
    <row r="30" spans="1:11" ht="23.25" x14ac:dyDescent="0.35">
      <c r="A30" s="112" t="s">
        <v>173</v>
      </c>
      <c r="B30" s="60" t="s">
        <v>278</v>
      </c>
      <c r="C30" s="111">
        <v>6</v>
      </c>
      <c r="D30" s="111" t="s">
        <v>19</v>
      </c>
      <c r="E30" s="111" t="s">
        <v>19</v>
      </c>
      <c r="F30" s="100"/>
      <c r="G30" s="101" t="s">
        <v>202</v>
      </c>
      <c r="H30" s="101"/>
      <c r="I30" s="101"/>
      <c r="J30" s="101"/>
      <c r="K30" s="101"/>
    </row>
    <row r="31" spans="1:11" ht="23.25" x14ac:dyDescent="0.35">
      <c r="A31" s="102" t="s">
        <v>176</v>
      </c>
      <c r="B31" s="59" t="s">
        <v>278</v>
      </c>
      <c r="C31" s="100">
        <v>7</v>
      </c>
      <c r="D31" s="100" t="s">
        <v>96</v>
      </c>
      <c r="E31" s="99"/>
      <c r="F31" s="99"/>
      <c r="G31" s="101" t="s">
        <v>202</v>
      </c>
      <c r="H31" s="101"/>
      <c r="I31" s="101"/>
      <c r="J31" s="101"/>
      <c r="K31" s="101"/>
    </row>
    <row r="32" spans="1:11" ht="46.5" x14ac:dyDescent="0.35">
      <c r="A32" s="104" t="s">
        <v>179</v>
      </c>
      <c r="B32" s="59" t="s">
        <v>278</v>
      </c>
      <c r="C32" s="100">
        <v>8</v>
      </c>
      <c r="D32" s="100" t="s">
        <v>96</v>
      </c>
      <c r="E32" s="99"/>
      <c r="F32" s="99"/>
      <c r="G32" s="101" t="s">
        <v>202</v>
      </c>
      <c r="H32" s="101"/>
      <c r="I32" s="101"/>
      <c r="J32" s="101"/>
      <c r="K32" s="101"/>
    </row>
    <row r="33" spans="1:11" ht="23.25" x14ac:dyDescent="0.35">
      <c r="A33" s="112" t="s">
        <v>182</v>
      </c>
      <c r="B33" s="60" t="s">
        <v>278</v>
      </c>
      <c r="C33" s="111">
        <v>9</v>
      </c>
      <c r="D33" s="111" t="s">
        <v>19</v>
      </c>
      <c r="E33" s="111" t="s">
        <v>19</v>
      </c>
      <c r="F33" s="100"/>
      <c r="G33" s="101" t="s">
        <v>202</v>
      </c>
      <c r="H33" s="101"/>
      <c r="I33" s="101"/>
      <c r="J33" s="101"/>
      <c r="K33" s="101"/>
    </row>
    <row r="34" spans="1:11" ht="23.25" x14ac:dyDescent="0.35">
      <c r="A34" s="112" t="s">
        <v>185</v>
      </c>
      <c r="B34" s="60" t="s">
        <v>278</v>
      </c>
      <c r="C34" s="111">
        <v>10</v>
      </c>
      <c r="D34" s="111" t="s">
        <v>19</v>
      </c>
      <c r="E34" s="111" t="s">
        <v>19</v>
      </c>
      <c r="F34" s="100"/>
      <c r="G34" s="101" t="s">
        <v>202</v>
      </c>
      <c r="H34" s="101"/>
      <c r="I34" s="101"/>
      <c r="J34" s="101"/>
      <c r="K34" s="101"/>
    </row>
    <row r="35" spans="1:11" ht="23.25" x14ac:dyDescent="0.35">
      <c r="A35" s="102" t="s">
        <v>186</v>
      </c>
      <c r="B35" s="59" t="s">
        <v>279</v>
      </c>
      <c r="C35" s="100">
        <v>11</v>
      </c>
      <c r="D35" s="100" t="s">
        <v>96</v>
      </c>
      <c r="E35" s="99"/>
      <c r="F35" s="99"/>
      <c r="G35" s="101" t="s">
        <v>202</v>
      </c>
      <c r="H35" s="101"/>
      <c r="I35" s="101"/>
      <c r="J35" s="101"/>
      <c r="K35" s="101"/>
    </row>
    <row r="36" spans="1:11" ht="23.25" x14ac:dyDescent="0.35">
      <c r="A36" s="102" t="s">
        <v>187</v>
      </c>
      <c r="B36" s="59" t="s">
        <v>279</v>
      </c>
      <c r="C36" s="100">
        <v>12</v>
      </c>
      <c r="D36" s="100" t="s">
        <v>96</v>
      </c>
      <c r="E36" s="99"/>
      <c r="F36" s="99"/>
      <c r="G36" s="101" t="s">
        <v>202</v>
      </c>
      <c r="H36" s="101"/>
      <c r="I36" s="101"/>
      <c r="J36" s="101"/>
      <c r="K36" s="101"/>
    </row>
    <row r="37" spans="1:11" ht="23.25" x14ac:dyDescent="0.35">
      <c r="A37" s="102" t="s">
        <v>188</v>
      </c>
      <c r="B37" s="59" t="s">
        <v>279</v>
      </c>
      <c r="C37" s="100">
        <v>13</v>
      </c>
      <c r="D37" s="100" t="s">
        <v>96</v>
      </c>
      <c r="E37" s="99"/>
      <c r="F37" s="99"/>
      <c r="G37" s="101" t="s">
        <v>202</v>
      </c>
      <c r="H37" s="101"/>
      <c r="I37" s="101"/>
      <c r="J37" s="101"/>
      <c r="K37" s="101"/>
    </row>
    <row r="38" spans="1:11" ht="23.25" x14ac:dyDescent="0.35">
      <c r="A38" s="102" t="s">
        <v>189</v>
      </c>
      <c r="B38" s="59" t="s">
        <v>279</v>
      </c>
      <c r="C38" s="100">
        <v>14</v>
      </c>
      <c r="D38" s="100" t="s">
        <v>96</v>
      </c>
      <c r="E38" s="99"/>
      <c r="F38" s="99"/>
      <c r="G38" s="101" t="s">
        <v>202</v>
      </c>
      <c r="H38" s="101"/>
      <c r="I38" s="101"/>
      <c r="J38" s="101"/>
      <c r="K38" s="101"/>
    </row>
    <row r="39" spans="1:11" ht="23.25" x14ac:dyDescent="0.35">
      <c r="A39" s="110" t="s">
        <v>190</v>
      </c>
      <c r="B39" s="60" t="s">
        <v>280</v>
      </c>
      <c r="C39" s="111">
        <v>15</v>
      </c>
      <c r="D39" s="111" t="s">
        <v>19</v>
      </c>
      <c r="E39" s="111" t="s">
        <v>19</v>
      </c>
      <c r="F39" s="100"/>
      <c r="G39" s="101" t="s">
        <v>202</v>
      </c>
      <c r="H39" s="101"/>
      <c r="I39" s="101"/>
      <c r="J39" s="101"/>
      <c r="K39" s="101"/>
    </row>
    <row r="40" spans="1:11" ht="23.25" x14ac:dyDescent="0.35">
      <c r="A40" s="110" t="s">
        <v>191</v>
      </c>
      <c r="B40" s="60" t="s">
        <v>280</v>
      </c>
      <c r="C40" s="111">
        <v>16</v>
      </c>
      <c r="D40" s="111" t="s">
        <v>19</v>
      </c>
      <c r="E40" s="111" t="s">
        <v>19</v>
      </c>
      <c r="F40" s="100"/>
      <c r="G40" s="101" t="s">
        <v>202</v>
      </c>
      <c r="H40" s="101"/>
      <c r="I40" s="101"/>
      <c r="J40" s="101"/>
      <c r="K40" s="101"/>
    </row>
    <row r="43" spans="1:11" ht="21" x14ac:dyDescent="0.35">
      <c r="A43" s="21" t="s">
        <v>302</v>
      </c>
      <c r="C43" s="27"/>
      <c r="D43" s="61"/>
      <c r="F43" s="22" t="s">
        <v>206</v>
      </c>
      <c r="G43" s="24"/>
      <c r="H43" s="24"/>
      <c r="I43" s="24"/>
      <c r="J43" s="24"/>
      <c r="K43" s="24" t="s">
        <v>289</v>
      </c>
    </row>
    <row r="44" spans="1:11" ht="21" x14ac:dyDescent="0.35">
      <c r="A44" s="105" t="s">
        <v>215</v>
      </c>
      <c r="B44" s="106" t="s">
        <v>276</v>
      </c>
      <c r="C44" s="107" t="s">
        <v>216</v>
      </c>
      <c r="D44" s="25" t="s">
        <v>8</v>
      </c>
      <c r="E44" s="25" t="s">
        <v>290</v>
      </c>
      <c r="F44" s="25" t="s">
        <v>291</v>
      </c>
      <c r="G44" s="25" t="s">
        <v>292</v>
      </c>
      <c r="H44" s="108" t="s">
        <v>293</v>
      </c>
      <c r="I44" s="109" t="s">
        <v>294</v>
      </c>
      <c r="J44" s="109" t="s">
        <v>295</v>
      </c>
      <c r="K44" s="25" t="s">
        <v>296</v>
      </c>
    </row>
    <row r="45" spans="1:11" ht="23.25" x14ac:dyDescent="0.35">
      <c r="A45" s="110" t="s">
        <v>158</v>
      </c>
      <c r="B45" s="60" t="s">
        <v>277</v>
      </c>
      <c r="C45" s="111">
        <v>1</v>
      </c>
      <c r="D45" s="111" t="s">
        <v>19</v>
      </c>
      <c r="E45" s="111" t="s">
        <v>19</v>
      </c>
      <c r="F45" s="100"/>
      <c r="G45" s="101" t="s">
        <v>202</v>
      </c>
      <c r="H45" s="101"/>
      <c r="I45" s="101"/>
      <c r="J45" s="101"/>
      <c r="K45" s="101"/>
    </row>
    <row r="46" spans="1:11" ht="23.25" x14ac:dyDescent="0.35">
      <c r="A46" s="110" t="s">
        <v>161</v>
      </c>
      <c r="B46" s="60" t="s">
        <v>277</v>
      </c>
      <c r="C46" s="111">
        <v>2</v>
      </c>
      <c r="D46" s="111" t="s">
        <v>19</v>
      </c>
      <c r="E46" s="111" t="s">
        <v>19</v>
      </c>
      <c r="F46" s="100"/>
      <c r="G46" s="101" t="s">
        <v>202</v>
      </c>
      <c r="H46" s="101"/>
      <c r="I46" s="101"/>
      <c r="J46" s="101"/>
      <c r="K46" s="101"/>
    </row>
    <row r="47" spans="1:11" ht="23.25" x14ac:dyDescent="0.35">
      <c r="A47" s="102" t="s">
        <v>164</v>
      </c>
      <c r="B47" s="59" t="s">
        <v>278</v>
      </c>
      <c r="C47" s="100">
        <v>3</v>
      </c>
      <c r="D47" s="100" t="s">
        <v>96</v>
      </c>
      <c r="E47" s="99"/>
      <c r="F47" s="99"/>
      <c r="G47" s="101" t="s">
        <v>202</v>
      </c>
      <c r="H47" s="101"/>
      <c r="I47" s="101"/>
      <c r="J47" s="101"/>
      <c r="K47" s="101"/>
    </row>
    <row r="48" spans="1:11" ht="23.25" x14ac:dyDescent="0.35">
      <c r="A48" s="102" t="s">
        <v>167</v>
      </c>
      <c r="B48" s="59" t="s">
        <v>278</v>
      </c>
      <c r="C48" s="100">
        <v>4</v>
      </c>
      <c r="D48" s="100" t="s">
        <v>96</v>
      </c>
      <c r="E48" s="99"/>
      <c r="F48" s="99"/>
      <c r="G48" s="101" t="s">
        <v>202</v>
      </c>
      <c r="H48" s="101"/>
      <c r="I48" s="101"/>
      <c r="J48" s="101"/>
      <c r="K48" s="101"/>
    </row>
    <row r="49" spans="1:11" ht="23.25" x14ac:dyDescent="0.35">
      <c r="A49" s="102" t="s">
        <v>170</v>
      </c>
      <c r="B49" s="59" t="s">
        <v>278</v>
      </c>
      <c r="C49" s="100">
        <v>5</v>
      </c>
      <c r="D49" s="100" t="s">
        <v>96</v>
      </c>
      <c r="E49" s="99"/>
      <c r="F49" s="99"/>
      <c r="G49" s="101" t="s">
        <v>202</v>
      </c>
      <c r="H49" s="103"/>
      <c r="I49" s="103"/>
      <c r="J49" s="103"/>
      <c r="K49" s="103"/>
    </row>
    <row r="50" spans="1:11" ht="21" customHeight="1" x14ac:dyDescent="0.35">
      <c r="A50" s="112" t="s">
        <v>173</v>
      </c>
      <c r="B50" s="60" t="s">
        <v>278</v>
      </c>
      <c r="C50" s="111">
        <v>6</v>
      </c>
      <c r="D50" s="111" t="s">
        <v>19</v>
      </c>
      <c r="E50" s="111" t="s">
        <v>19</v>
      </c>
      <c r="F50" s="100"/>
      <c r="G50" s="101" t="s">
        <v>202</v>
      </c>
      <c r="H50" s="101"/>
      <c r="I50" s="101"/>
      <c r="J50" s="101"/>
      <c r="K50" s="101"/>
    </row>
    <row r="51" spans="1:11" ht="23.25" x14ac:dyDescent="0.35">
      <c r="A51" s="102" t="s">
        <v>176</v>
      </c>
      <c r="B51" s="59" t="s">
        <v>278</v>
      </c>
      <c r="C51" s="100">
        <v>7</v>
      </c>
      <c r="D51" s="100" t="s">
        <v>96</v>
      </c>
      <c r="E51" s="99"/>
      <c r="F51" s="99"/>
      <c r="G51" s="101" t="s">
        <v>202</v>
      </c>
      <c r="H51" s="101"/>
      <c r="I51" s="101"/>
      <c r="J51" s="101"/>
      <c r="K51" s="101"/>
    </row>
    <row r="52" spans="1:11" ht="46.5" x14ac:dyDescent="0.35">
      <c r="A52" s="104" t="s">
        <v>179</v>
      </c>
      <c r="B52" s="59" t="s">
        <v>278</v>
      </c>
      <c r="C52" s="100">
        <v>8</v>
      </c>
      <c r="D52" s="100" t="s">
        <v>96</v>
      </c>
      <c r="E52" s="99"/>
      <c r="F52" s="99"/>
      <c r="G52" s="101" t="s">
        <v>202</v>
      </c>
      <c r="H52" s="101"/>
      <c r="I52" s="101"/>
      <c r="J52" s="101"/>
      <c r="K52" s="101"/>
    </row>
    <row r="53" spans="1:11" ht="23.25" x14ac:dyDescent="0.35">
      <c r="A53" s="112" t="s">
        <v>182</v>
      </c>
      <c r="B53" s="60" t="s">
        <v>278</v>
      </c>
      <c r="C53" s="111">
        <v>9</v>
      </c>
      <c r="D53" s="111" t="s">
        <v>19</v>
      </c>
      <c r="E53" s="111" t="s">
        <v>19</v>
      </c>
      <c r="F53" s="100"/>
      <c r="G53" s="101" t="s">
        <v>202</v>
      </c>
      <c r="H53" s="101"/>
      <c r="I53" s="101"/>
      <c r="J53" s="101"/>
      <c r="K53" s="101"/>
    </row>
    <row r="54" spans="1:11" ht="23.25" x14ac:dyDescent="0.35">
      <c r="A54" s="112" t="s">
        <v>185</v>
      </c>
      <c r="B54" s="60" t="s">
        <v>278</v>
      </c>
      <c r="C54" s="111">
        <v>10</v>
      </c>
      <c r="D54" s="111" t="s">
        <v>19</v>
      </c>
      <c r="E54" s="111" t="s">
        <v>19</v>
      </c>
      <c r="F54" s="100"/>
      <c r="G54" s="101" t="s">
        <v>202</v>
      </c>
      <c r="H54" s="101"/>
      <c r="I54" s="101"/>
      <c r="J54" s="101"/>
      <c r="K54" s="101"/>
    </row>
    <row r="55" spans="1:11" ht="23.25" x14ac:dyDescent="0.35">
      <c r="A55" s="102" t="s">
        <v>186</v>
      </c>
      <c r="B55" s="59" t="s">
        <v>279</v>
      </c>
      <c r="C55" s="100">
        <v>11</v>
      </c>
      <c r="D55" s="100" t="s">
        <v>96</v>
      </c>
      <c r="E55" s="99"/>
      <c r="F55" s="99"/>
      <c r="G55" s="101" t="s">
        <v>202</v>
      </c>
      <c r="H55" s="101"/>
      <c r="I55" s="101"/>
      <c r="J55" s="101"/>
      <c r="K55" s="101"/>
    </row>
    <row r="56" spans="1:11" ht="23.25" x14ac:dyDescent="0.35">
      <c r="A56" s="102" t="s">
        <v>187</v>
      </c>
      <c r="B56" s="59" t="s">
        <v>279</v>
      </c>
      <c r="C56" s="100">
        <v>12</v>
      </c>
      <c r="D56" s="100" t="s">
        <v>96</v>
      </c>
      <c r="E56" s="99"/>
      <c r="F56" s="99"/>
      <c r="G56" s="101" t="s">
        <v>202</v>
      </c>
      <c r="H56" s="101"/>
      <c r="I56" s="101"/>
      <c r="J56" s="101"/>
      <c r="K56" s="101"/>
    </row>
    <row r="57" spans="1:11" ht="23.25" x14ac:dyDescent="0.35">
      <c r="A57" s="102" t="s">
        <v>188</v>
      </c>
      <c r="B57" s="59" t="s">
        <v>279</v>
      </c>
      <c r="C57" s="100">
        <v>13</v>
      </c>
      <c r="D57" s="100" t="s">
        <v>96</v>
      </c>
      <c r="E57" s="99"/>
      <c r="F57" s="99"/>
      <c r="G57" s="101" t="s">
        <v>202</v>
      </c>
      <c r="H57" s="101"/>
      <c r="I57" s="101"/>
      <c r="J57" s="101"/>
      <c r="K57" s="101"/>
    </row>
    <row r="58" spans="1:11" ht="23.25" x14ac:dyDescent="0.35">
      <c r="A58" s="102" t="s">
        <v>189</v>
      </c>
      <c r="B58" s="59" t="s">
        <v>279</v>
      </c>
      <c r="C58" s="100">
        <v>14</v>
      </c>
      <c r="D58" s="100" t="s">
        <v>96</v>
      </c>
      <c r="E58" s="99"/>
      <c r="F58" s="99"/>
      <c r="G58" s="101" t="s">
        <v>202</v>
      </c>
      <c r="H58" s="101"/>
      <c r="I58" s="101"/>
      <c r="J58" s="101"/>
      <c r="K58" s="101"/>
    </row>
    <row r="59" spans="1:11" ht="23.25" x14ac:dyDescent="0.35">
      <c r="A59" s="110" t="s">
        <v>190</v>
      </c>
      <c r="B59" s="60" t="s">
        <v>280</v>
      </c>
      <c r="C59" s="111">
        <v>15</v>
      </c>
      <c r="D59" s="111" t="s">
        <v>19</v>
      </c>
      <c r="E59" s="111" t="s">
        <v>19</v>
      </c>
      <c r="F59" s="100"/>
      <c r="G59" s="101" t="s">
        <v>202</v>
      </c>
      <c r="H59" s="101"/>
      <c r="I59" s="101"/>
      <c r="J59" s="101"/>
      <c r="K59" s="101"/>
    </row>
    <row r="60" spans="1:11" ht="23.25" x14ac:dyDescent="0.35">
      <c r="A60" s="110" t="s">
        <v>191</v>
      </c>
      <c r="B60" s="60" t="s">
        <v>280</v>
      </c>
      <c r="C60" s="111">
        <v>16</v>
      </c>
      <c r="D60" s="111" t="s">
        <v>19</v>
      </c>
      <c r="E60" s="111" t="s">
        <v>19</v>
      </c>
      <c r="F60" s="100"/>
      <c r="G60" s="101" t="s">
        <v>202</v>
      </c>
      <c r="H60" s="101"/>
      <c r="I60" s="101"/>
      <c r="J60" s="101"/>
      <c r="K60" s="101"/>
    </row>
    <row r="63" spans="1:11" ht="21" x14ac:dyDescent="0.35">
      <c r="A63" s="21" t="s">
        <v>303</v>
      </c>
      <c r="C63" s="27"/>
      <c r="D63" s="61"/>
      <c r="E63" s="27"/>
      <c r="F63" s="22" t="s">
        <v>207</v>
      </c>
      <c r="G63" s="23" t="s">
        <v>304</v>
      </c>
      <c r="H63" s="24"/>
      <c r="I63" s="24"/>
      <c r="J63" s="24"/>
      <c r="K63" s="24" t="s">
        <v>289</v>
      </c>
    </row>
    <row r="64" spans="1:11" ht="21" x14ac:dyDescent="0.35">
      <c r="A64" s="105" t="s">
        <v>215</v>
      </c>
      <c r="B64" s="106" t="s">
        <v>276</v>
      </c>
      <c r="C64" s="107" t="s">
        <v>216</v>
      </c>
      <c r="D64" s="25" t="s">
        <v>8</v>
      </c>
      <c r="E64" s="25" t="s">
        <v>290</v>
      </c>
      <c r="F64" s="25" t="s">
        <v>291</v>
      </c>
      <c r="G64" s="25" t="s">
        <v>292</v>
      </c>
      <c r="H64" s="108" t="s">
        <v>293</v>
      </c>
      <c r="I64" s="109" t="s">
        <v>294</v>
      </c>
      <c r="J64" s="109" t="s">
        <v>295</v>
      </c>
      <c r="K64" s="25" t="s">
        <v>296</v>
      </c>
    </row>
    <row r="65" spans="1:11" ht="23.25" x14ac:dyDescent="0.35">
      <c r="A65" s="110" t="s">
        <v>158</v>
      </c>
      <c r="B65" s="60" t="s">
        <v>277</v>
      </c>
      <c r="C65" s="111">
        <v>1</v>
      </c>
      <c r="D65" s="111" t="s">
        <v>19</v>
      </c>
      <c r="E65" s="111" t="s">
        <v>19</v>
      </c>
      <c r="F65" s="100"/>
      <c r="G65" s="101" t="s">
        <v>202</v>
      </c>
      <c r="H65" s="101"/>
      <c r="I65" s="101"/>
      <c r="J65" s="101"/>
      <c r="K65" s="101"/>
    </row>
    <row r="66" spans="1:11" ht="23.25" x14ac:dyDescent="0.35">
      <c r="A66" s="110" t="s">
        <v>161</v>
      </c>
      <c r="B66" s="60" t="s">
        <v>277</v>
      </c>
      <c r="C66" s="111">
        <v>2</v>
      </c>
      <c r="D66" s="111" t="s">
        <v>19</v>
      </c>
      <c r="E66" s="111" t="s">
        <v>19</v>
      </c>
      <c r="F66" s="100"/>
      <c r="G66" s="101" t="s">
        <v>202</v>
      </c>
      <c r="H66" s="101"/>
      <c r="I66" s="101"/>
      <c r="J66" s="101"/>
      <c r="K66" s="101"/>
    </row>
    <row r="67" spans="1:11" ht="23.25" x14ac:dyDescent="0.35">
      <c r="A67" s="102" t="s">
        <v>164</v>
      </c>
      <c r="B67" s="59" t="s">
        <v>278</v>
      </c>
      <c r="C67" s="100">
        <v>3</v>
      </c>
      <c r="D67" s="100" t="s">
        <v>96</v>
      </c>
      <c r="E67" s="99"/>
      <c r="F67" s="99"/>
      <c r="G67" s="101" t="s">
        <v>202</v>
      </c>
      <c r="H67" s="101"/>
      <c r="I67" s="101"/>
      <c r="J67" s="101"/>
      <c r="K67" s="101"/>
    </row>
    <row r="68" spans="1:11" ht="23.25" x14ac:dyDescent="0.35">
      <c r="A68" s="102" t="s">
        <v>167</v>
      </c>
      <c r="B68" s="59" t="s">
        <v>278</v>
      </c>
      <c r="C68" s="100">
        <v>4</v>
      </c>
      <c r="D68" s="100" t="s">
        <v>96</v>
      </c>
      <c r="E68" s="99"/>
      <c r="F68" s="99"/>
      <c r="G68" s="101" t="s">
        <v>202</v>
      </c>
      <c r="H68" s="101"/>
      <c r="I68" s="101"/>
      <c r="J68" s="101"/>
      <c r="K68" s="101"/>
    </row>
    <row r="69" spans="1:11" ht="23.25" x14ac:dyDescent="0.35">
      <c r="A69" s="102" t="s">
        <v>170</v>
      </c>
      <c r="B69" s="59" t="s">
        <v>278</v>
      </c>
      <c r="C69" s="100">
        <v>5</v>
      </c>
      <c r="D69" s="100" t="s">
        <v>96</v>
      </c>
      <c r="E69" s="99"/>
      <c r="F69" s="99"/>
      <c r="G69" s="101" t="s">
        <v>202</v>
      </c>
      <c r="H69" s="103"/>
      <c r="I69" s="103"/>
      <c r="J69" s="103"/>
      <c r="K69" s="103"/>
    </row>
    <row r="70" spans="1:11" ht="23.25" x14ac:dyDescent="0.35">
      <c r="A70" s="112" t="s">
        <v>173</v>
      </c>
      <c r="B70" s="60" t="s">
        <v>278</v>
      </c>
      <c r="C70" s="111">
        <v>6</v>
      </c>
      <c r="D70" s="111" t="s">
        <v>19</v>
      </c>
      <c r="E70" s="111" t="s">
        <v>19</v>
      </c>
      <c r="F70" s="100"/>
      <c r="G70" s="101" t="s">
        <v>202</v>
      </c>
      <c r="H70" s="101"/>
      <c r="I70" s="101"/>
      <c r="J70" s="101"/>
      <c r="K70" s="101"/>
    </row>
    <row r="71" spans="1:11" ht="23.25" x14ac:dyDescent="0.35">
      <c r="A71" s="102" t="s">
        <v>176</v>
      </c>
      <c r="B71" s="59" t="s">
        <v>278</v>
      </c>
      <c r="C71" s="100">
        <v>7</v>
      </c>
      <c r="D71" s="100" t="s">
        <v>96</v>
      </c>
      <c r="E71" s="99"/>
      <c r="F71" s="99"/>
      <c r="G71" s="101" t="s">
        <v>202</v>
      </c>
      <c r="H71" s="101"/>
      <c r="I71" s="101"/>
      <c r="J71" s="101"/>
      <c r="K71" s="101"/>
    </row>
    <row r="72" spans="1:11" ht="46.5" x14ac:dyDescent="0.35">
      <c r="A72" s="104" t="s">
        <v>179</v>
      </c>
      <c r="B72" s="59" t="s">
        <v>278</v>
      </c>
      <c r="C72" s="100">
        <v>8</v>
      </c>
      <c r="D72" s="100" t="s">
        <v>96</v>
      </c>
      <c r="E72" s="99"/>
      <c r="F72" s="99"/>
      <c r="G72" s="101" t="s">
        <v>202</v>
      </c>
      <c r="H72" s="101"/>
      <c r="I72" s="101"/>
      <c r="J72" s="101"/>
      <c r="K72" s="101"/>
    </row>
    <row r="73" spans="1:11" ht="23.25" x14ac:dyDescent="0.35">
      <c r="A73" s="112" t="s">
        <v>182</v>
      </c>
      <c r="B73" s="60" t="s">
        <v>278</v>
      </c>
      <c r="C73" s="111">
        <v>9</v>
      </c>
      <c r="D73" s="111" t="s">
        <v>19</v>
      </c>
      <c r="E73" s="111" t="s">
        <v>19</v>
      </c>
      <c r="F73" s="100"/>
      <c r="G73" s="101" t="s">
        <v>202</v>
      </c>
      <c r="H73" s="101"/>
      <c r="I73" s="101"/>
      <c r="J73" s="101"/>
      <c r="K73" s="101"/>
    </row>
    <row r="74" spans="1:11" ht="23.25" x14ac:dyDescent="0.35">
      <c r="A74" s="112" t="s">
        <v>185</v>
      </c>
      <c r="B74" s="60" t="s">
        <v>278</v>
      </c>
      <c r="C74" s="111">
        <v>10</v>
      </c>
      <c r="D74" s="111" t="s">
        <v>19</v>
      </c>
      <c r="E74" s="111" t="s">
        <v>19</v>
      </c>
      <c r="F74" s="100"/>
      <c r="G74" s="101" t="s">
        <v>202</v>
      </c>
      <c r="H74" s="101"/>
      <c r="I74" s="101"/>
      <c r="J74" s="101"/>
      <c r="K74" s="101"/>
    </row>
    <row r="75" spans="1:11" ht="23.25" x14ac:dyDescent="0.35">
      <c r="A75" s="102" t="s">
        <v>186</v>
      </c>
      <c r="B75" s="59" t="s">
        <v>279</v>
      </c>
      <c r="C75" s="100">
        <v>11</v>
      </c>
      <c r="D75" s="100" t="s">
        <v>96</v>
      </c>
      <c r="E75" s="99"/>
      <c r="F75" s="99"/>
      <c r="G75" s="101" t="s">
        <v>202</v>
      </c>
      <c r="H75" s="101"/>
      <c r="I75" s="101"/>
      <c r="J75" s="101"/>
      <c r="K75" s="101"/>
    </row>
    <row r="76" spans="1:11" ht="23.25" x14ac:dyDescent="0.35">
      <c r="A76" s="102" t="s">
        <v>187</v>
      </c>
      <c r="B76" s="59" t="s">
        <v>279</v>
      </c>
      <c r="C76" s="100">
        <v>12</v>
      </c>
      <c r="D76" s="100" t="s">
        <v>96</v>
      </c>
      <c r="E76" s="99"/>
      <c r="F76" s="99"/>
      <c r="G76" s="101" t="s">
        <v>202</v>
      </c>
      <c r="H76" s="101"/>
      <c r="I76" s="101"/>
      <c r="J76" s="101"/>
      <c r="K76" s="101"/>
    </row>
    <row r="77" spans="1:11" ht="23.25" x14ac:dyDescent="0.35">
      <c r="A77" s="102" t="s">
        <v>188</v>
      </c>
      <c r="B77" s="59" t="s">
        <v>279</v>
      </c>
      <c r="C77" s="100">
        <v>13</v>
      </c>
      <c r="D77" s="100" t="s">
        <v>96</v>
      </c>
      <c r="E77" s="99"/>
      <c r="F77" s="99"/>
      <c r="G77" s="101" t="s">
        <v>202</v>
      </c>
      <c r="H77" s="101"/>
      <c r="I77" s="101"/>
      <c r="J77" s="101"/>
      <c r="K77" s="101"/>
    </row>
    <row r="78" spans="1:11" ht="23.25" x14ac:dyDescent="0.35">
      <c r="A78" s="102" t="s">
        <v>189</v>
      </c>
      <c r="B78" s="59" t="s">
        <v>279</v>
      </c>
      <c r="C78" s="100">
        <v>14</v>
      </c>
      <c r="D78" s="100" t="s">
        <v>96</v>
      </c>
      <c r="E78" s="99"/>
      <c r="F78" s="99"/>
      <c r="G78" s="101" t="s">
        <v>202</v>
      </c>
      <c r="H78" s="101"/>
      <c r="I78" s="101"/>
      <c r="J78" s="101"/>
      <c r="K78" s="101"/>
    </row>
    <row r="79" spans="1:11" ht="23.25" x14ac:dyDescent="0.35">
      <c r="A79" s="110" t="s">
        <v>190</v>
      </c>
      <c r="B79" s="60" t="s">
        <v>280</v>
      </c>
      <c r="C79" s="111">
        <v>15</v>
      </c>
      <c r="D79" s="111" t="s">
        <v>19</v>
      </c>
      <c r="E79" s="111" t="s">
        <v>19</v>
      </c>
      <c r="F79" s="100"/>
      <c r="G79" s="101" t="s">
        <v>202</v>
      </c>
      <c r="H79" s="101"/>
      <c r="I79" s="101"/>
      <c r="J79" s="101"/>
      <c r="K79" s="101"/>
    </row>
    <row r="80" spans="1:11" ht="23.25" x14ac:dyDescent="0.35">
      <c r="A80" s="110" t="s">
        <v>191</v>
      </c>
      <c r="B80" s="60" t="s">
        <v>280</v>
      </c>
      <c r="C80" s="111">
        <v>16</v>
      </c>
      <c r="D80" s="111" t="s">
        <v>19</v>
      </c>
      <c r="E80" s="111" t="s">
        <v>19</v>
      </c>
      <c r="F80" s="100"/>
      <c r="G80" s="101" t="s">
        <v>202</v>
      </c>
      <c r="H80" s="101"/>
      <c r="I80" s="101"/>
      <c r="J80" s="101"/>
      <c r="K80" s="101"/>
    </row>
    <row r="83" spans="1:11" ht="126" x14ac:dyDescent="0.35">
      <c r="A83" s="21" t="s">
        <v>305</v>
      </c>
      <c r="C83" s="27"/>
      <c r="D83" s="61"/>
      <c r="E83" s="26" t="s">
        <v>301</v>
      </c>
      <c r="F83" s="22" t="s">
        <v>208</v>
      </c>
      <c r="G83" s="24"/>
      <c r="H83" s="24"/>
      <c r="I83" s="24"/>
      <c r="J83" s="24"/>
      <c r="K83" s="24" t="s">
        <v>289</v>
      </c>
    </row>
    <row r="84" spans="1:11" ht="21" x14ac:dyDescent="0.35">
      <c r="A84" s="105" t="s">
        <v>215</v>
      </c>
      <c r="B84" s="106" t="s">
        <v>276</v>
      </c>
      <c r="C84" s="107" t="s">
        <v>216</v>
      </c>
      <c r="D84" s="25" t="s">
        <v>8</v>
      </c>
      <c r="E84" s="25" t="s">
        <v>290</v>
      </c>
      <c r="F84" s="25" t="s">
        <v>291</v>
      </c>
      <c r="G84" s="25" t="s">
        <v>292</v>
      </c>
      <c r="H84" s="108" t="s">
        <v>293</v>
      </c>
      <c r="I84" s="109" t="s">
        <v>294</v>
      </c>
      <c r="J84" s="109" t="s">
        <v>295</v>
      </c>
      <c r="K84" s="25" t="s">
        <v>296</v>
      </c>
    </row>
    <row r="85" spans="1:11" ht="23.25" x14ac:dyDescent="0.35">
      <c r="A85" s="110" t="s">
        <v>158</v>
      </c>
      <c r="B85" s="60" t="s">
        <v>277</v>
      </c>
      <c r="C85" s="111">
        <v>1</v>
      </c>
      <c r="D85" s="111" t="s">
        <v>19</v>
      </c>
      <c r="E85" s="111" t="s">
        <v>19</v>
      </c>
      <c r="F85" s="100"/>
      <c r="G85" s="101" t="s">
        <v>202</v>
      </c>
      <c r="H85" s="101"/>
      <c r="I85" s="101"/>
      <c r="J85" s="101"/>
      <c r="K85" s="101"/>
    </row>
    <row r="86" spans="1:11" ht="23.25" x14ac:dyDescent="0.35">
      <c r="A86" s="110" t="s">
        <v>161</v>
      </c>
      <c r="B86" s="60" t="s">
        <v>277</v>
      </c>
      <c r="C86" s="111">
        <v>2</v>
      </c>
      <c r="D86" s="111" t="s">
        <v>19</v>
      </c>
      <c r="E86" s="111" t="s">
        <v>19</v>
      </c>
      <c r="F86" s="100"/>
      <c r="G86" s="101" t="s">
        <v>202</v>
      </c>
      <c r="H86" s="101"/>
      <c r="I86" s="101"/>
      <c r="J86" s="101"/>
      <c r="K86" s="101"/>
    </row>
    <row r="87" spans="1:11" ht="23.25" x14ac:dyDescent="0.35">
      <c r="A87" s="102" t="s">
        <v>164</v>
      </c>
      <c r="B87" s="59" t="s">
        <v>278</v>
      </c>
      <c r="C87" s="100">
        <v>3</v>
      </c>
      <c r="D87" s="100" t="s">
        <v>96</v>
      </c>
      <c r="E87" s="99"/>
      <c r="F87" s="99"/>
      <c r="G87" s="101" t="s">
        <v>202</v>
      </c>
      <c r="H87" s="101"/>
      <c r="I87" s="101"/>
      <c r="J87" s="101"/>
      <c r="K87" s="101"/>
    </row>
    <row r="88" spans="1:11" ht="23.25" x14ac:dyDescent="0.35">
      <c r="A88" s="102" t="s">
        <v>167</v>
      </c>
      <c r="B88" s="59" t="s">
        <v>278</v>
      </c>
      <c r="C88" s="100">
        <v>4</v>
      </c>
      <c r="D88" s="100" t="s">
        <v>96</v>
      </c>
      <c r="E88" s="99"/>
      <c r="F88" s="99"/>
      <c r="G88" s="101" t="s">
        <v>202</v>
      </c>
      <c r="H88" s="101"/>
      <c r="I88" s="101"/>
      <c r="J88" s="101"/>
      <c r="K88" s="101"/>
    </row>
    <row r="89" spans="1:11" ht="23.25" x14ac:dyDescent="0.35">
      <c r="A89" s="102" t="s">
        <v>170</v>
      </c>
      <c r="B89" s="59" t="s">
        <v>278</v>
      </c>
      <c r="C89" s="100">
        <v>5</v>
      </c>
      <c r="D89" s="100" t="s">
        <v>96</v>
      </c>
      <c r="E89" s="99"/>
      <c r="F89" s="99"/>
      <c r="G89" s="101" t="s">
        <v>202</v>
      </c>
      <c r="H89" s="103"/>
      <c r="I89" s="103"/>
      <c r="J89" s="103"/>
      <c r="K89" s="103"/>
    </row>
    <row r="90" spans="1:11" ht="23.25" x14ac:dyDescent="0.35">
      <c r="A90" s="112" t="s">
        <v>173</v>
      </c>
      <c r="B90" s="60" t="s">
        <v>278</v>
      </c>
      <c r="C90" s="111">
        <v>6</v>
      </c>
      <c r="D90" s="111" t="s">
        <v>19</v>
      </c>
      <c r="E90" s="111" t="s">
        <v>19</v>
      </c>
      <c r="F90" s="100"/>
      <c r="G90" s="101" t="s">
        <v>202</v>
      </c>
      <c r="H90" s="101"/>
      <c r="I90" s="101"/>
      <c r="J90" s="101"/>
      <c r="K90" s="101"/>
    </row>
    <row r="91" spans="1:11" ht="21" customHeight="1" x14ac:dyDescent="0.35">
      <c r="A91" s="102" t="s">
        <v>176</v>
      </c>
      <c r="B91" s="59" t="s">
        <v>278</v>
      </c>
      <c r="C91" s="100">
        <v>7</v>
      </c>
      <c r="D91" s="100" t="s">
        <v>96</v>
      </c>
      <c r="E91" s="99"/>
      <c r="F91" s="99"/>
      <c r="G91" s="101" t="s">
        <v>202</v>
      </c>
      <c r="H91" s="101"/>
      <c r="I91" s="101"/>
      <c r="J91" s="101"/>
      <c r="K91" s="101"/>
    </row>
    <row r="92" spans="1:11" ht="21" customHeight="1" x14ac:dyDescent="0.35">
      <c r="A92" s="104" t="s">
        <v>179</v>
      </c>
      <c r="B92" s="59" t="s">
        <v>278</v>
      </c>
      <c r="C92" s="100">
        <v>8</v>
      </c>
      <c r="D92" s="100" t="s">
        <v>96</v>
      </c>
      <c r="E92" s="99"/>
      <c r="F92" s="99"/>
      <c r="G92" s="101" t="s">
        <v>202</v>
      </c>
      <c r="H92" s="101"/>
      <c r="I92" s="101"/>
      <c r="J92" s="101"/>
      <c r="K92" s="101"/>
    </row>
    <row r="93" spans="1:11" ht="23.25" x14ac:dyDescent="0.35">
      <c r="A93" s="112" t="s">
        <v>182</v>
      </c>
      <c r="B93" s="60" t="s">
        <v>278</v>
      </c>
      <c r="C93" s="111">
        <v>9</v>
      </c>
      <c r="D93" s="111" t="s">
        <v>19</v>
      </c>
      <c r="E93" s="111" t="s">
        <v>19</v>
      </c>
      <c r="F93" s="100"/>
      <c r="G93" s="101" t="s">
        <v>202</v>
      </c>
      <c r="H93" s="101"/>
      <c r="I93" s="101"/>
      <c r="J93" s="101"/>
      <c r="K93" s="101"/>
    </row>
    <row r="94" spans="1:11" ht="23.25" x14ac:dyDescent="0.35">
      <c r="A94" s="112" t="s">
        <v>185</v>
      </c>
      <c r="B94" s="60" t="s">
        <v>278</v>
      </c>
      <c r="C94" s="111">
        <v>10</v>
      </c>
      <c r="D94" s="111" t="s">
        <v>19</v>
      </c>
      <c r="E94" s="111" t="s">
        <v>19</v>
      </c>
      <c r="F94" s="100"/>
      <c r="G94" s="101" t="s">
        <v>202</v>
      </c>
      <c r="H94" s="101"/>
      <c r="I94" s="101"/>
      <c r="J94" s="101"/>
      <c r="K94" s="101"/>
    </row>
    <row r="95" spans="1:11" ht="23.25" x14ac:dyDescent="0.35">
      <c r="A95" s="102" t="s">
        <v>186</v>
      </c>
      <c r="B95" s="59" t="s">
        <v>279</v>
      </c>
      <c r="C95" s="100">
        <v>11</v>
      </c>
      <c r="D95" s="100" t="s">
        <v>96</v>
      </c>
      <c r="E95" s="99"/>
      <c r="F95" s="99"/>
      <c r="G95" s="101" t="s">
        <v>202</v>
      </c>
      <c r="H95" s="101"/>
      <c r="I95" s="101"/>
      <c r="J95" s="101"/>
      <c r="K95" s="101"/>
    </row>
    <row r="96" spans="1:11" ht="23.25" x14ac:dyDescent="0.35">
      <c r="A96" s="102" t="s">
        <v>187</v>
      </c>
      <c r="B96" s="59" t="s">
        <v>279</v>
      </c>
      <c r="C96" s="100">
        <v>12</v>
      </c>
      <c r="D96" s="100" t="s">
        <v>96</v>
      </c>
      <c r="E96" s="99"/>
      <c r="F96" s="99"/>
      <c r="G96" s="101" t="s">
        <v>202</v>
      </c>
      <c r="H96" s="101"/>
      <c r="I96" s="101"/>
      <c r="J96" s="101"/>
      <c r="K96" s="101"/>
    </row>
    <row r="97" spans="1:11" ht="23.25" x14ac:dyDescent="0.35">
      <c r="A97" s="102" t="s">
        <v>188</v>
      </c>
      <c r="B97" s="59" t="s">
        <v>279</v>
      </c>
      <c r="C97" s="100">
        <v>13</v>
      </c>
      <c r="D97" s="100" t="s">
        <v>96</v>
      </c>
      <c r="E97" s="99"/>
      <c r="F97" s="99"/>
      <c r="G97" s="101" t="s">
        <v>202</v>
      </c>
      <c r="H97" s="101"/>
      <c r="I97" s="101"/>
      <c r="J97" s="101"/>
      <c r="K97" s="101"/>
    </row>
    <row r="98" spans="1:11" ht="23.25" x14ac:dyDescent="0.35">
      <c r="A98" s="102" t="s">
        <v>189</v>
      </c>
      <c r="B98" s="59" t="s">
        <v>279</v>
      </c>
      <c r="C98" s="100">
        <v>14</v>
      </c>
      <c r="D98" s="100" t="s">
        <v>96</v>
      </c>
      <c r="E98" s="99"/>
      <c r="F98" s="99"/>
      <c r="G98" s="101" t="s">
        <v>202</v>
      </c>
      <c r="H98" s="101"/>
      <c r="I98" s="101"/>
      <c r="J98" s="101"/>
      <c r="K98" s="101"/>
    </row>
    <row r="99" spans="1:11" ht="23.25" x14ac:dyDescent="0.35">
      <c r="A99" s="110" t="s">
        <v>190</v>
      </c>
      <c r="B99" s="60" t="s">
        <v>280</v>
      </c>
      <c r="C99" s="111">
        <v>15</v>
      </c>
      <c r="D99" s="111" t="s">
        <v>19</v>
      </c>
      <c r="E99" s="111" t="s">
        <v>19</v>
      </c>
      <c r="F99" s="100"/>
      <c r="G99" s="101" t="s">
        <v>202</v>
      </c>
      <c r="H99" s="101"/>
      <c r="I99" s="101"/>
      <c r="J99" s="101"/>
      <c r="K99" s="101"/>
    </row>
    <row r="100" spans="1:11" ht="23.25" x14ac:dyDescent="0.35">
      <c r="A100" s="110" t="s">
        <v>191</v>
      </c>
      <c r="B100" s="60" t="s">
        <v>280</v>
      </c>
      <c r="C100" s="111">
        <v>16</v>
      </c>
      <c r="D100" s="111" t="s">
        <v>19</v>
      </c>
      <c r="E100" s="111" t="s">
        <v>19</v>
      </c>
      <c r="F100" s="100"/>
      <c r="G100" s="101" t="s">
        <v>202</v>
      </c>
      <c r="H100" s="101"/>
      <c r="I100" s="101"/>
      <c r="J100" s="101"/>
      <c r="K100" s="101"/>
    </row>
    <row r="103" spans="1:11" ht="21" x14ac:dyDescent="0.35">
      <c r="A103" s="21" t="s">
        <v>306</v>
      </c>
      <c r="C103" s="27"/>
      <c r="D103" s="61"/>
      <c r="E103" s="27"/>
      <c r="F103" s="22" t="s">
        <v>210</v>
      </c>
      <c r="G103" s="24"/>
      <c r="H103" s="24"/>
      <c r="I103" s="24"/>
      <c r="J103" s="24"/>
      <c r="K103" s="24" t="s">
        <v>289</v>
      </c>
    </row>
    <row r="104" spans="1:11" ht="21" x14ac:dyDescent="0.35">
      <c r="A104" s="105" t="s">
        <v>215</v>
      </c>
      <c r="B104" s="106" t="s">
        <v>276</v>
      </c>
      <c r="C104" s="107" t="s">
        <v>216</v>
      </c>
      <c r="D104" s="25" t="s">
        <v>8</v>
      </c>
      <c r="E104" s="25" t="s">
        <v>290</v>
      </c>
      <c r="F104" s="25" t="s">
        <v>291</v>
      </c>
      <c r="G104" s="25" t="s">
        <v>292</v>
      </c>
      <c r="H104" s="108" t="s">
        <v>293</v>
      </c>
      <c r="I104" s="109" t="s">
        <v>294</v>
      </c>
      <c r="J104" s="109" t="s">
        <v>295</v>
      </c>
      <c r="K104" s="25" t="s">
        <v>296</v>
      </c>
    </row>
    <row r="105" spans="1:11" ht="23.25" x14ac:dyDescent="0.35">
      <c r="A105" s="110" t="s">
        <v>158</v>
      </c>
      <c r="B105" s="60" t="s">
        <v>277</v>
      </c>
      <c r="C105" s="111">
        <v>1</v>
      </c>
      <c r="D105" s="111" t="s">
        <v>19</v>
      </c>
      <c r="E105" s="111" t="s">
        <v>19</v>
      </c>
      <c r="F105" s="100"/>
      <c r="G105" s="101" t="s">
        <v>202</v>
      </c>
      <c r="H105" s="101"/>
      <c r="I105" s="101"/>
      <c r="J105" s="101"/>
      <c r="K105" s="101"/>
    </row>
    <row r="106" spans="1:11" ht="23.25" x14ac:dyDescent="0.35">
      <c r="A106" s="110" t="s">
        <v>161</v>
      </c>
      <c r="B106" s="60" t="s">
        <v>277</v>
      </c>
      <c r="C106" s="111">
        <v>2</v>
      </c>
      <c r="D106" s="111" t="s">
        <v>19</v>
      </c>
      <c r="E106" s="111" t="s">
        <v>19</v>
      </c>
      <c r="F106" s="100"/>
      <c r="G106" s="101" t="s">
        <v>202</v>
      </c>
      <c r="H106" s="101"/>
      <c r="I106" s="101"/>
      <c r="J106" s="101"/>
      <c r="K106" s="101"/>
    </row>
    <row r="107" spans="1:11" ht="23.25" x14ac:dyDescent="0.35">
      <c r="A107" s="102" t="s">
        <v>164</v>
      </c>
      <c r="B107" s="59" t="s">
        <v>278</v>
      </c>
      <c r="C107" s="100">
        <v>3</v>
      </c>
      <c r="D107" s="100" t="s">
        <v>96</v>
      </c>
      <c r="E107" s="99"/>
      <c r="F107" s="99"/>
      <c r="G107" s="101" t="s">
        <v>202</v>
      </c>
      <c r="H107" s="101"/>
      <c r="I107" s="101"/>
      <c r="J107" s="101"/>
      <c r="K107" s="101"/>
    </row>
    <row r="108" spans="1:11" ht="23.25" x14ac:dyDescent="0.35">
      <c r="A108" s="102" t="s">
        <v>167</v>
      </c>
      <c r="B108" s="59" t="s">
        <v>278</v>
      </c>
      <c r="C108" s="100">
        <v>4</v>
      </c>
      <c r="D108" s="100" t="s">
        <v>96</v>
      </c>
      <c r="E108" s="99"/>
      <c r="F108" s="99"/>
      <c r="G108" s="101" t="s">
        <v>202</v>
      </c>
      <c r="H108" s="101"/>
      <c r="I108" s="101"/>
      <c r="J108" s="101"/>
      <c r="K108" s="101"/>
    </row>
    <row r="109" spans="1:11" ht="23.25" x14ac:dyDescent="0.35">
      <c r="A109" s="102" t="s">
        <v>170</v>
      </c>
      <c r="B109" s="59" t="s">
        <v>278</v>
      </c>
      <c r="C109" s="100">
        <v>5</v>
      </c>
      <c r="D109" s="100" t="s">
        <v>96</v>
      </c>
      <c r="E109" s="99"/>
      <c r="F109" s="99"/>
      <c r="G109" s="101" t="s">
        <v>202</v>
      </c>
      <c r="H109" s="103"/>
      <c r="I109" s="103"/>
      <c r="J109" s="103"/>
      <c r="K109" s="103"/>
    </row>
    <row r="110" spans="1:11" ht="23.25" x14ac:dyDescent="0.35">
      <c r="A110" s="112" t="s">
        <v>173</v>
      </c>
      <c r="B110" s="60" t="s">
        <v>278</v>
      </c>
      <c r="C110" s="111">
        <v>6</v>
      </c>
      <c r="D110" s="111" t="s">
        <v>19</v>
      </c>
      <c r="E110" s="111" t="s">
        <v>19</v>
      </c>
      <c r="F110" s="100"/>
      <c r="G110" s="101" t="s">
        <v>202</v>
      </c>
      <c r="H110" s="101"/>
      <c r="I110" s="101"/>
      <c r="J110" s="101"/>
      <c r="K110" s="101"/>
    </row>
    <row r="111" spans="1:11" ht="23.25" x14ac:dyDescent="0.35">
      <c r="A111" s="102" t="s">
        <v>176</v>
      </c>
      <c r="B111" s="59" t="s">
        <v>278</v>
      </c>
      <c r="C111" s="100">
        <v>7</v>
      </c>
      <c r="D111" s="100" t="s">
        <v>96</v>
      </c>
      <c r="E111" s="99"/>
      <c r="F111" s="99"/>
      <c r="G111" s="101" t="s">
        <v>202</v>
      </c>
      <c r="H111" s="101"/>
      <c r="I111" s="101"/>
      <c r="J111" s="101"/>
      <c r="K111" s="101"/>
    </row>
    <row r="112" spans="1:11" ht="46.5" x14ac:dyDescent="0.35">
      <c r="A112" s="104" t="s">
        <v>179</v>
      </c>
      <c r="B112" s="59" t="s">
        <v>278</v>
      </c>
      <c r="C112" s="100">
        <v>8</v>
      </c>
      <c r="D112" s="100" t="s">
        <v>96</v>
      </c>
      <c r="E112" s="99"/>
      <c r="F112" s="99"/>
      <c r="G112" s="101" t="s">
        <v>202</v>
      </c>
      <c r="H112" s="101"/>
      <c r="I112" s="101"/>
      <c r="J112" s="101"/>
      <c r="K112" s="101"/>
    </row>
    <row r="113" spans="1:11" ht="23.25" x14ac:dyDescent="0.35">
      <c r="A113" s="112" t="s">
        <v>182</v>
      </c>
      <c r="B113" s="60" t="s">
        <v>278</v>
      </c>
      <c r="C113" s="111">
        <v>9</v>
      </c>
      <c r="D113" s="111" t="s">
        <v>19</v>
      </c>
      <c r="E113" s="111" t="s">
        <v>19</v>
      </c>
      <c r="F113" s="100"/>
      <c r="G113" s="101" t="s">
        <v>202</v>
      </c>
      <c r="H113" s="101"/>
      <c r="I113" s="101"/>
      <c r="J113" s="101"/>
      <c r="K113" s="101"/>
    </row>
    <row r="114" spans="1:11" ht="23.25" x14ac:dyDescent="0.35">
      <c r="A114" s="112" t="s">
        <v>185</v>
      </c>
      <c r="B114" s="60" t="s">
        <v>278</v>
      </c>
      <c r="C114" s="111">
        <v>10</v>
      </c>
      <c r="D114" s="111" t="s">
        <v>19</v>
      </c>
      <c r="E114" s="111" t="s">
        <v>19</v>
      </c>
      <c r="F114" s="100"/>
      <c r="G114" s="101" t="s">
        <v>202</v>
      </c>
      <c r="H114" s="101"/>
      <c r="I114" s="101"/>
      <c r="J114" s="101"/>
      <c r="K114" s="101"/>
    </row>
    <row r="115" spans="1:11" ht="23.25" x14ac:dyDescent="0.35">
      <c r="A115" s="102" t="s">
        <v>186</v>
      </c>
      <c r="B115" s="59" t="s">
        <v>279</v>
      </c>
      <c r="C115" s="100">
        <v>11</v>
      </c>
      <c r="D115" s="100" t="s">
        <v>96</v>
      </c>
      <c r="E115" s="99"/>
      <c r="F115" s="99"/>
      <c r="G115" s="101" t="s">
        <v>202</v>
      </c>
      <c r="H115" s="101"/>
      <c r="I115" s="101"/>
      <c r="J115" s="101"/>
      <c r="K115" s="101"/>
    </row>
    <row r="116" spans="1:11" ht="23.25" x14ac:dyDescent="0.35">
      <c r="A116" s="102" t="s">
        <v>187</v>
      </c>
      <c r="B116" s="59" t="s">
        <v>279</v>
      </c>
      <c r="C116" s="100">
        <v>12</v>
      </c>
      <c r="D116" s="100" t="s">
        <v>96</v>
      </c>
      <c r="E116" s="99"/>
      <c r="F116" s="99"/>
      <c r="G116" s="101" t="s">
        <v>202</v>
      </c>
      <c r="H116" s="101"/>
      <c r="I116" s="101"/>
      <c r="J116" s="101"/>
      <c r="K116" s="101"/>
    </row>
    <row r="117" spans="1:11" ht="23.25" x14ac:dyDescent="0.35">
      <c r="A117" s="102" t="s">
        <v>188</v>
      </c>
      <c r="B117" s="59" t="s">
        <v>279</v>
      </c>
      <c r="C117" s="100">
        <v>13</v>
      </c>
      <c r="D117" s="100" t="s">
        <v>96</v>
      </c>
      <c r="E117" s="99"/>
      <c r="F117" s="99"/>
      <c r="G117" s="101" t="s">
        <v>202</v>
      </c>
      <c r="H117" s="101"/>
      <c r="I117" s="101"/>
      <c r="J117" s="101"/>
      <c r="K117" s="101"/>
    </row>
    <row r="118" spans="1:11" ht="23.25" x14ac:dyDescent="0.35">
      <c r="A118" s="102" t="s">
        <v>189</v>
      </c>
      <c r="B118" s="59" t="s">
        <v>279</v>
      </c>
      <c r="C118" s="100">
        <v>14</v>
      </c>
      <c r="D118" s="100" t="s">
        <v>96</v>
      </c>
      <c r="E118" s="99"/>
      <c r="F118" s="99"/>
      <c r="G118" s="101" t="s">
        <v>202</v>
      </c>
      <c r="H118" s="101"/>
      <c r="I118" s="101"/>
      <c r="J118" s="101"/>
      <c r="K118" s="101"/>
    </row>
    <row r="119" spans="1:11" ht="23.25" x14ac:dyDescent="0.35">
      <c r="A119" s="110" t="s">
        <v>190</v>
      </c>
      <c r="B119" s="60" t="s">
        <v>280</v>
      </c>
      <c r="C119" s="111">
        <v>15</v>
      </c>
      <c r="D119" s="111" t="s">
        <v>19</v>
      </c>
      <c r="E119" s="111" t="s">
        <v>19</v>
      </c>
      <c r="F119" s="100"/>
      <c r="G119" s="101" t="s">
        <v>202</v>
      </c>
      <c r="H119" s="101"/>
      <c r="I119" s="101"/>
      <c r="J119" s="101"/>
      <c r="K119" s="101"/>
    </row>
    <row r="120" spans="1:11" ht="23.25" x14ac:dyDescent="0.35">
      <c r="A120" s="110" t="s">
        <v>191</v>
      </c>
      <c r="B120" s="60" t="s">
        <v>280</v>
      </c>
      <c r="C120" s="111">
        <v>16</v>
      </c>
      <c r="D120" s="111" t="s">
        <v>19</v>
      </c>
      <c r="E120" s="111" t="s">
        <v>19</v>
      </c>
      <c r="F120" s="100"/>
      <c r="G120" s="101" t="s">
        <v>202</v>
      </c>
      <c r="H120" s="101"/>
      <c r="I120" s="101"/>
      <c r="J120" s="101"/>
      <c r="K120" s="101"/>
    </row>
    <row r="123" spans="1:11" ht="21" x14ac:dyDescent="0.35">
      <c r="A123" s="21" t="s">
        <v>307</v>
      </c>
      <c r="C123" s="27"/>
      <c r="D123" s="61"/>
      <c r="F123" s="22" t="s">
        <v>211</v>
      </c>
      <c r="G123" s="24"/>
      <c r="H123" s="24"/>
      <c r="I123" s="24"/>
      <c r="J123" s="24"/>
      <c r="K123" s="24" t="s">
        <v>289</v>
      </c>
    </row>
    <row r="124" spans="1:11" ht="21" x14ac:dyDescent="0.35">
      <c r="A124" s="105" t="s">
        <v>215</v>
      </c>
      <c r="B124" s="106" t="s">
        <v>276</v>
      </c>
      <c r="C124" s="107" t="s">
        <v>216</v>
      </c>
      <c r="D124" s="25" t="s">
        <v>8</v>
      </c>
      <c r="E124" s="25" t="s">
        <v>290</v>
      </c>
      <c r="F124" s="25" t="s">
        <v>291</v>
      </c>
      <c r="G124" s="25" t="s">
        <v>292</v>
      </c>
      <c r="H124" s="108" t="s">
        <v>293</v>
      </c>
      <c r="I124" s="109" t="s">
        <v>294</v>
      </c>
      <c r="J124" s="109" t="s">
        <v>295</v>
      </c>
      <c r="K124" s="25" t="s">
        <v>296</v>
      </c>
    </row>
    <row r="125" spans="1:11" ht="23.25" x14ac:dyDescent="0.35">
      <c r="A125" s="110" t="s">
        <v>158</v>
      </c>
      <c r="B125" s="60" t="s">
        <v>277</v>
      </c>
      <c r="C125" s="111">
        <v>1</v>
      </c>
      <c r="D125" s="111" t="s">
        <v>19</v>
      </c>
      <c r="E125" s="111" t="s">
        <v>19</v>
      </c>
      <c r="F125" s="100"/>
      <c r="G125" s="101" t="s">
        <v>202</v>
      </c>
      <c r="H125" s="101"/>
      <c r="I125" s="101"/>
      <c r="J125" s="101"/>
      <c r="K125" s="101"/>
    </row>
    <row r="126" spans="1:11" ht="23.25" x14ac:dyDescent="0.35">
      <c r="A126" s="110" t="s">
        <v>161</v>
      </c>
      <c r="B126" s="60" t="s">
        <v>277</v>
      </c>
      <c r="C126" s="111">
        <v>2</v>
      </c>
      <c r="D126" s="111" t="s">
        <v>19</v>
      </c>
      <c r="E126" s="111" t="s">
        <v>19</v>
      </c>
      <c r="F126" s="100"/>
      <c r="G126" s="101" t="s">
        <v>202</v>
      </c>
      <c r="H126" s="101"/>
      <c r="I126" s="101"/>
      <c r="J126" s="101"/>
      <c r="K126" s="101"/>
    </row>
    <row r="127" spans="1:11" ht="23.25" x14ac:dyDescent="0.35">
      <c r="A127" s="102" t="s">
        <v>164</v>
      </c>
      <c r="B127" s="59" t="s">
        <v>278</v>
      </c>
      <c r="C127" s="100">
        <v>3</v>
      </c>
      <c r="D127" s="100" t="s">
        <v>96</v>
      </c>
      <c r="E127" s="99"/>
      <c r="F127" s="99"/>
      <c r="G127" s="101" t="s">
        <v>202</v>
      </c>
      <c r="H127" s="101"/>
      <c r="I127" s="101"/>
      <c r="J127" s="101"/>
      <c r="K127" s="101"/>
    </row>
    <row r="128" spans="1:11" ht="23.25" x14ac:dyDescent="0.35">
      <c r="A128" s="102" t="s">
        <v>167</v>
      </c>
      <c r="B128" s="59" t="s">
        <v>278</v>
      </c>
      <c r="C128" s="100">
        <v>4</v>
      </c>
      <c r="D128" s="100" t="s">
        <v>96</v>
      </c>
      <c r="E128" s="99"/>
      <c r="F128" s="99"/>
      <c r="G128" s="101" t="s">
        <v>202</v>
      </c>
      <c r="H128" s="101"/>
      <c r="I128" s="101"/>
      <c r="J128" s="101"/>
      <c r="K128" s="101"/>
    </row>
    <row r="129" spans="1:11" ht="23.25" x14ac:dyDescent="0.35">
      <c r="A129" s="102" t="s">
        <v>170</v>
      </c>
      <c r="B129" s="59" t="s">
        <v>278</v>
      </c>
      <c r="C129" s="100">
        <v>5</v>
      </c>
      <c r="D129" s="100" t="s">
        <v>96</v>
      </c>
      <c r="E129" s="99"/>
      <c r="F129" s="99"/>
      <c r="G129" s="101" t="s">
        <v>202</v>
      </c>
      <c r="H129" s="103"/>
      <c r="I129" s="103"/>
      <c r="J129" s="103"/>
      <c r="K129" s="103"/>
    </row>
    <row r="130" spans="1:11" ht="21" customHeight="1" x14ac:dyDescent="0.35">
      <c r="A130" s="112" t="s">
        <v>173</v>
      </c>
      <c r="B130" s="60" t="s">
        <v>278</v>
      </c>
      <c r="C130" s="111">
        <v>6</v>
      </c>
      <c r="D130" s="111" t="s">
        <v>19</v>
      </c>
      <c r="E130" s="111" t="s">
        <v>19</v>
      </c>
      <c r="F130" s="100"/>
      <c r="G130" s="101" t="s">
        <v>202</v>
      </c>
      <c r="H130" s="101"/>
      <c r="I130" s="101"/>
      <c r="J130" s="101"/>
      <c r="K130" s="101"/>
    </row>
    <row r="131" spans="1:11" ht="23.25" x14ac:dyDescent="0.35">
      <c r="A131" s="102" t="s">
        <v>176</v>
      </c>
      <c r="B131" s="59" t="s">
        <v>278</v>
      </c>
      <c r="C131" s="100">
        <v>7</v>
      </c>
      <c r="D131" s="100" t="s">
        <v>96</v>
      </c>
      <c r="E131" s="99"/>
      <c r="F131" s="99"/>
      <c r="G131" s="101" t="s">
        <v>202</v>
      </c>
      <c r="H131" s="101"/>
      <c r="I131" s="101"/>
      <c r="J131" s="101"/>
      <c r="K131" s="101"/>
    </row>
    <row r="132" spans="1:11" ht="46.5" x14ac:dyDescent="0.35">
      <c r="A132" s="104" t="s">
        <v>179</v>
      </c>
      <c r="B132" s="59" t="s">
        <v>278</v>
      </c>
      <c r="C132" s="100">
        <v>8</v>
      </c>
      <c r="D132" s="100" t="s">
        <v>96</v>
      </c>
      <c r="E132" s="99"/>
      <c r="F132" s="99"/>
      <c r="G132" s="101" t="s">
        <v>202</v>
      </c>
      <c r="H132" s="101"/>
      <c r="I132" s="101"/>
      <c r="J132" s="101"/>
      <c r="K132" s="101"/>
    </row>
    <row r="133" spans="1:11" ht="21" customHeight="1" x14ac:dyDescent="0.35">
      <c r="A133" s="112" t="s">
        <v>182</v>
      </c>
      <c r="B133" s="60" t="s">
        <v>278</v>
      </c>
      <c r="C133" s="111">
        <v>9</v>
      </c>
      <c r="D133" s="111" t="s">
        <v>19</v>
      </c>
      <c r="E133" s="111" t="s">
        <v>19</v>
      </c>
      <c r="F133" s="100"/>
      <c r="G133" s="101" t="s">
        <v>202</v>
      </c>
      <c r="H133" s="101"/>
      <c r="I133" s="101"/>
      <c r="J133" s="101"/>
      <c r="K133" s="101"/>
    </row>
    <row r="134" spans="1:11" ht="23.25" x14ac:dyDescent="0.35">
      <c r="A134" s="112" t="s">
        <v>185</v>
      </c>
      <c r="B134" s="60" t="s">
        <v>278</v>
      </c>
      <c r="C134" s="111">
        <v>10</v>
      </c>
      <c r="D134" s="111" t="s">
        <v>19</v>
      </c>
      <c r="E134" s="111" t="s">
        <v>19</v>
      </c>
      <c r="F134" s="100"/>
      <c r="G134" s="101" t="s">
        <v>202</v>
      </c>
      <c r="H134" s="101"/>
      <c r="I134" s="101"/>
      <c r="J134" s="101"/>
      <c r="K134" s="101"/>
    </row>
    <row r="135" spans="1:11" ht="23.25" x14ac:dyDescent="0.35">
      <c r="A135" s="102" t="s">
        <v>186</v>
      </c>
      <c r="B135" s="59" t="s">
        <v>279</v>
      </c>
      <c r="C135" s="100">
        <v>11</v>
      </c>
      <c r="D135" s="100" t="s">
        <v>96</v>
      </c>
      <c r="E135" s="99"/>
      <c r="F135" s="99"/>
      <c r="G135" s="101" t="s">
        <v>202</v>
      </c>
      <c r="H135" s="101"/>
      <c r="I135" s="101"/>
      <c r="J135" s="101"/>
      <c r="K135" s="101"/>
    </row>
    <row r="136" spans="1:11" ht="23.25" x14ac:dyDescent="0.35">
      <c r="A136" s="102" t="s">
        <v>187</v>
      </c>
      <c r="B136" s="59" t="s">
        <v>279</v>
      </c>
      <c r="C136" s="100">
        <v>12</v>
      </c>
      <c r="D136" s="100" t="s">
        <v>96</v>
      </c>
      <c r="E136" s="99"/>
      <c r="F136" s="99"/>
      <c r="G136" s="101" t="s">
        <v>202</v>
      </c>
      <c r="H136" s="101"/>
      <c r="I136" s="101"/>
      <c r="J136" s="101"/>
      <c r="K136" s="101"/>
    </row>
    <row r="137" spans="1:11" ht="23.25" x14ac:dyDescent="0.35">
      <c r="A137" s="102" t="s">
        <v>188</v>
      </c>
      <c r="B137" s="59" t="s">
        <v>279</v>
      </c>
      <c r="C137" s="100">
        <v>13</v>
      </c>
      <c r="D137" s="100" t="s">
        <v>96</v>
      </c>
      <c r="E137" s="99"/>
      <c r="F137" s="99"/>
      <c r="G137" s="101" t="s">
        <v>202</v>
      </c>
      <c r="H137" s="101"/>
      <c r="I137" s="101"/>
      <c r="J137" s="101"/>
      <c r="K137" s="101"/>
    </row>
    <row r="138" spans="1:11" ht="23.25" x14ac:dyDescent="0.35">
      <c r="A138" s="102" t="s">
        <v>189</v>
      </c>
      <c r="B138" s="59" t="s">
        <v>279</v>
      </c>
      <c r="C138" s="100">
        <v>14</v>
      </c>
      <c r="D138" s="100" t="s">
        <v>96</v>
      </c>
      <c r="E138" s="99"/>
      <c r="F138" s="99"/>
      <c r="G138" s="101" t="s">
        <v>202</v>
      </c>
      <c r="H138" s="101"/>
      <c r="I138" s="101"/>
      <c r="J138" s="101"/>
      <c r="K138" s="101"/>
    </row>
    <row r="139" spans="1:11" ht="23.25" x14ac:dyDescent="0.35">
      <c r="A139" s="110" t="s">
        <v>190</v>
      </c>
      <c r="B139" s="60" t="s">
        <v>280</v>
      </c>
      <c r="C139" s="111">
        <v>15</v>
      </c>
      <c r="D139" s="111" t="s">
        <v>19</v>
      </c>
      <c r="E139" s="111" t="s">
        <v>19</v>
      </c>
      <c r="F139" s="100"/>
      <c r="G139" s="101" t="s">
        <v>202</v>
      </c>
      <c r="H139" s="101"/>
      <c r="I139" s="101"/>
      <c r="J139" s="101"/>
      <c r="K139" s="101"/>
    </row>
    <row r="140" spans="1:11" ht="23.25" x14ac:dyDescent="0.35">
      <c r="A140" s="110" t="s">
        <v>191</v>
      </c>
      <c r="B140" s="60" t="s">
        <v>280</v>
      </c>
      <c r="C140" s="111">
        <v>16</v>
      </c>
      <c r="D140" s="111" t="s">
        <v>19</v>
      </c>
      <c r="E140" s="111" t="s">
        <v>19</v>
      </c>
      <c r="F140" s="100"/>
      <c r="G140" s="101" t="s">
        <v>202</v>
      </c>
      <c r="H140" s="101"/>
      <c r="I140" s="101"/>
      <c r="J140" s="101"/>
      <c r="K140" s="101"/>
    </row>
    <row r="143" spans="1:11" ht="21" x14ac:dyDescent="0.35">
      <c r="A143" s="21" t="s">
        <v>308</v>
      </c>
      <c r="C143" s="27"/>
      <c r="D143" s="61"/>
      <c r="E143" s="27"/>
      <c r="F143" s="22" t="s">
        <v>212</v>
      </c>
      <c r="G143" s="23" t="s">
        <v>309</v>
      </c>
      <c r="H143" s="24"/>
      <c r="I143" s="24"/>
      <c r="J143" s="24"/>
      <c r="K143" s="24" t="s">
        <v>289</v>
      </c>
    </row>
    <row r="144" spans="1:11" ht="21" x14ac:dyDescent="0.35">
      <c r="A144" s="105" t="s">
        <v>215</v>
      </c>
      <c r="B144" s="106" t="s">
        <v>276</v>
      </c>
      <c r="C144" s="107" t="s">
        <v>216</v>
      </c>
      <c r="D144" s="25" t="s">
        <v>8</v>
      </c>
      <c r="E144" s="25" t="s">
        <v>290</v>
      </c>
      <c r="F144" s="25" t="s">
        <v>291</v>
      </c>
      <c r="G144" s="25" t="s">
        <v>292</v>
      </c>
      <c r="H144" s="108" t="s">
        <v>293</v>
      </c>
      <c r="I144" s="109" t="s">
        <v>294</v>
      </c>
      <c r="J144" s="109" t="s">
        <v>295</v>
      </c>
      <c r="K144" s="25" t="s">
        <v>296</v>
      </c>
    </row>
    <row r="145" spans="1:11" ht="23.25" x14ac:dyDescent="0.35">
      <c r="A145" s="110" t="s">
        <v>158</v>
      </c>
      <c r="B145" s="60" t="s">
        <v>277</v>
      </c>
      <c r="C145" s="111">
        <v>1</v>
      </c>
      <c r="D145" s="111" t="s">
        <v>19</v>
      </c>
      <c r="E145" s="111" t="s">
        <v>19</v>
      </c>
      <c r="F145" s="100"/>
      <c r="G145" s="101" t="s">
        <v>202</v>
      </c>
      <c r="H145" s="101"/>
      <c r="I145" s="101"/>
      <c r="J145" s="101"/>
      <c r="K145" s="101"/>
    </row>
    <row r="146" spans="1:11" ht="23.25" x14ac:dyDescent="0.35">
      <c r="A146" s="110" t="s">
        <v>161</v>
      </c>
      <c r="B146" s="60" t="s">
        <v>277</v>
      </c>
      <c r="C146" s="111">
        <v>2</v>
      </c>
      <c r="D146" s="111" t="s">
        <v>19</v>
      </c>
      <c r="E146" s="111" t="s">
        <v>19</v>
      </c>
      <c r="F146" s="100"/>
      <c r="G146" s="101" t="s">
        <v>202</v>
      </c>
      <c r="H146" s="101"/>
      <c r="I146" s="101"/>
      <c r="J146" s="101"/>
      <c r="K146" s="101"/>
    </row>
    <row r="147" spans="1:11" ht="23.25" x14ac:dyDescent="0.35">
      <c r="A147" s="102" t="s">
        <v>164</v>
      </c>
      <c r="B147" s="59" t="s">
        <v>278</v>
      </c>
      <c r="C147" s="100">
        <v>3</v>
      </c>
      <c r="D147" s="100" t="s">
        <v>96</v>
      </c>
      <c r="E147" s="99"/>
      <c r="F147" s="99"/>
      <c r="G147" s="101" t="s">
        <v>202</v>
      </c>
      <c r="H147" s="101"/>
      <c r="I147" s="101"/>
      <c r="J147" s="101"/>
      <c r="K147" s="101"/>
    </row>
    <row r="148" spans="1:11" ht="23.25" x14ac:dyDescent="0.35">
      <c r="A148" s="102" t="s">
        <v>167</v>
      </c>
      <c r="B148" s="59" t="s">
        <v>278</v>
      </c>
      <c r="C148" s="100">
        <v>4</v>
      </c>
      <c r="D148" s="100" t="s">
        <v>96</v>
      </c>
      <c r="E148" s="99"/>
      <c r="F148" s="99"/>
      <c r="G148" s="101" t="s">
        <v>202</v>
      </c>
      <c r="H148" s="101"/>
      <c r="I148" s="101"/>
      <c r="J148" s="101"/>
      <c r="K148" s="101"/>
    </row>
    <row r="149" spans="1:11" ht="23.25" x14ac:dyDescent="0.35">
      <c r="A149" s="102" t="s">
        <v>170</v>
      </c>
      <c r="B149" s="59" t="s">
        <v>278</v>
      </c>
      <c r="C149" s="100">
        <v>5</v>
      </c>
      <c r="D149" s="100" t="s">
        <v>96</v>
      </c>
      <c r="E149" s="99"/>
      <c r="F149" s="99"/>
      <c r="G149" s="101" t="s">
        <v>202</v>
      </c>
      <c r="H149" s="103"/>
      <c r="I149" s="103"/>
      <c r="J149" s="103"/>
      <c r="K149" s="103"/>
    </row>
    <row r="150" spans="1:11" ht="23.25" x14ac:dyDescent="0.35">
      <c r="A150" s="112" t="s">
        <v>173</v>
      </c>
      <c r="B150" s="60" t="s">
        <v>278</v>
      </c>
      <c r="C150" s="111">
        <v>6</v>
      </c>
      <c r="D150" s="111" t="s">
        <v>19</v>
      </c>
      <c r="E150" s="111" t="s">
        <v>19</v>
      </c>
      <c r="F150" s="100"/>
      <c r="G150" s="101" t="s">
        <v>202</v>
      </c>
      <c r="H150" s="101"/>
      <c r="I150" s="101"/>
      <c r="J150" s="101"/>
      <c r="K150" s="101"/>
    </row>
    <row r="151" spans="1:11" ht="23.25" x14ac:dyDescent="0.35">
      <c r="A151" s="102" t="s">
        <v>176</v>
      </c>
      <c r="B151" s="59" t="s">
        <v>278</v>
      </c>
      <c r="C151" s="100">
        <v>7</v>
      </c>
      <c r="D151" s="100" t="s">
        <v>96</v>
      </c>
      <c r="E151" s="99"/>
      <c r="F151" s="99"/>
      <c r="G151" s="101" t="s">
        <v>202</v>
      </c>
      <c r="H151" s="101"/>
      <c r="I151" s="101"/>
      <c r="J151" s="101"/>
      <c r="K151" s="101"/>
    </row>
    <row r="152" spans="1:11" ht="46.5" x14ac:dyDescent="0.35">
      <c r="A152" s="104" t="s">
        <v>179</v>
      </c>
      <c r="B152" s="59" t="s">
        <v>278</v>
      </c>
      <c r="C152" s="100">
        <v>8</v>
      </c>
      <c r="D152" s="100" t="s">
        <v>96</v>
      </c>
      <c r="E152" s="99"/>
      <c r="F152" s="99"/>
      <c r="G152" s="101" t="s">
        <v>202</v>
      </c>
      <c r="H152" s="101"/>
      <c r="I152" s="101"/>
      <c r="J152" s="101"/>
      <c r="K152" s="101"/>
    </row>
    <row r="153" spans="1:11" ht="23.25" x14ac:dyDescent="0.35">
      <c r="A153" s="112" t="s">
        <v>182</v>
      </c>
      <c r="B153" s="60" t="s">
        <v>278</v>
      </c>
      <c r="C153" s="111">
        <v>9</v>
      </c>
      <c r="D153" s="111" t="s">
        <v>19</v>
      </c>
      <c r="E153" s="111" t="s">
        <v>19</v>
      </c>
      <c r="F153" s="100"/>
      <c r="G153" s="101" t="s">
        <v>202</v>
      </c>
      <c r="H153" s="101"/>
      <c r="I153" s="101"/>
      <c r="J153" s="101"/>
      <c r="K153" s="101"/>
    </row>
    <row r="154" spans="1:11" ht="23.25" x14ac:dyDescent="0.35">
      <c r="A154" s="112" t="s">
        <v>185</v>
      </c>
      <c r="B154" s="60" t="s">
        <v>278</v>
      </c>
      <c r="C154" s="111">
        <v>10</v>
      </c>
      <c r="D154" s="111" t="s">
        <v>19</v>
      </c>
      <c r="E154" s="111" t="s">
        <v>19</v>
      </c>
      <c r="F154" s="100"/>
      <c r="G154" s="101" t="s">
        <v>202</v>
      </c>
      <c r="H154" s="101"/>
      <c r="I154" s="101"/>
      <c r="J154" s="101"/>
      <c r="K154" s="101"/>
    </row>
    <row r="155" spans="1:11" ht="23.25" x14ac:dyDescent="0.35">
      <c r="A155" s="102" t="s">
        <v>186</v>
      </c>
      <c r="B155" s="59" t="s">
        <v>279</v>
      </c>
      <c r="C155" s="100">
        <v>11</v>
      </c>
      <c r="D155" s="100" t="s">
        <v>96</v>
      </c>
      <c r="E155" s="99"/>
      <c r="F155" s="99"/>
      <c r="G155" s="101" t="s">
        <v>202</v>
      </c>
      <c r="H155" s="101"/>
      <c r="I155" s="101"/>
      <c r="J155" s="101"/>
      <c r="K155" s="101"/>
    </row>
    <row r="156" spans="1:11" ht="23.25" x14ac:dyDescent="0.35">
      <c r="A156" s="102" t="s">
        <v>187</v>
      </c>
      <c r="B156" s="59" t="s">
        <v>279</v>
      </c>
      <c r="C156" s="100">
        <v>12</v>
      </c>
      <c r="D156" s="100" t="s">
        <v>96</v>
      </c>
      <c r="E156" s="99"/>
      <c r="F156" s="99"/>
      <c r="G156" s="101" t="s">
        <v>202</v>
      </c>
      <c r="H156" s="101"/>
      <c r="I156" s="101"/>
      <c r="J156" s="101"/>
      <c r="K156" s="101"/>
    </row>
    <row r="157" spans="1:11" ht="23.25" x14ac:dyDescent="0.35">
      <c r="A157" s="102" t="s">
        <v>188</v>
      </c>
      <c r="B157" s="59" t="s">
        <v>279</v>
      </c>
      <c r="C157" s="100">
        <v>13</v>
      </c>
      <c r="D157" s="100" t="s">
        <v>96</v>
      </c>
      <c r="E157" s="99"/>
      <c r="F157" s="99"/>
      <c r="G157" s="101" t="s">
        <v>202</v>
      </c>
      <c r="H157" s="101"/>
      <c r="I157" s="101"/>
      <c r="J157" s="101"/>
      <c r="K157" s="101"/>
    </row>
    <row r="158" spans="1:11" ht="23.25" x14ac:dyDescent="0.35">
      <c r="A158" s="102" t="s">
        <v>189</v>
      </c>
      <c r="B158" s="59" t="s">
        <v>279</v>
      </c>
      <c r="C158" s="100">
        <v>14</v>
      </c>
      <c r="D158" s="100" t="s">
        <v>96</v>
      </c>
      <c r="E158" s="99"/>
      <c r="F158" s="99"/>
      <c r="G158" s="101" t="s">
        <v>202</v>
      </c>
      <c r="H158" s="101"/>
      <c r="I158" s="101"/>
      <c r="J158" s="101"/>
      <c r="K158" s="101"/>
    </row>
    <row r="159" spans="1:11" ht="23.25" x14ac:dyDescent="0.35">
      <c r="A159" s="110" t="s">
        <v>190</v>
      </c>
      <c r="B159" s="60" t="s">
        <v>280</v>
      </c>
      <c r="C159" s="111">
        <v>15</v>
      </c>
      <c r="D159" s="111" t="s">
        <v>19</v>
      </c>
      <c r="E159" s="111" t="s">
        <v>19</v>
      </c>
      <c r="F159" s="100"/>
      <c r="G159" s="101" t="s">
        <v>202</v>
      </c>
      <c r="H159" s="101"/>
      <c r="I159" s="101"/>
      <c r="J159" s="101"/>
      <c r="K159" s="101"/>
    </row>
    <row r="160" spans="1:11" ht="23.25" x14ac:dyDescent="0.35">
      <c r="A160" s="110" t="s">
        <v>191</v>
      </c>
      <c r="B160" s="60" t="s">
        <v>280</v>
      </c>
      <c r="C160" s="111">
        <v>16</v>
      </c>
      <c r="D160" s="111" t="s">
        <v>19</v>
      </c>
      <c r="E160" s="111" t="s">
        <v>19</v>
      </c>
      <c r="F160" s="100"/>
      <c r="G160" s="101" t="s">
        <v>202</v>
      </c>
      <c r="H160" s="101"/>
      <c r="I160" s="101"/>
      <c r="J160" s="101"/>
      <c r="K160" s="101"/>
    </row>
    <row r="161" spans="1:11" ht="23.25" x14ac:dyDescent="0.35">
      <c r="A161" s="113"/>
      <c r="C161" s="114"/>
      <c r="D161" s="114"/>
      <c r="E161" s="114"/>
      <c r="F161" s="114"/>
      <c r="G161" s="24"/>
      <c r="H161" s="24"/>
      <c r="I161" s="24"/>
      <c r="J161" s="24"/>
      <c r="K161" s="24"/>
    </row>
    <row r="162" spans="1:11" ht="23.25" x14ac:dyDescent="0.35">
      <c r="A162" s="113"/>
      <c r="C162" s="114"/>
      <c r="D162" s="114"/>
      <c r="E162" s="114"/>
      <c r="F162" s="114"/>
      <c r="G162" s="24"/>
      <c r="H162" s="24"/>
      <c r="I162" s="24"/>
      <c r="J162" s="24"/>
      <c r="K162" s="24"/>
    </row>
    <row r="163" spans="1:11" ht="23.25" customHeight="1" x14ac:dyDescent="0.3">
      <c r="A163" s="169" t="s">
        <v>310</v>
      </c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</row>
    <row r="164" spans="1:11" ht="23.25" customHeight="1" x14ac:dyDescent="0.3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</row>
    <row r="167" spans="1:11" ht="126" x14ac:dyDescent="0.35">
      <c r="A167" s="21" t="s">
        <v>311</v>
      </c>
      <c r="C167" s="27"/>
      <c r="D167" s="61"/>
      <c r="E167" s="26" t="s">
        <v>312</v>
      </c>
      <c r="F167" s="22" t="s">
        <v>213</v>
      </c>
      <c r="G167" s="24"/>
      <c r="H167" s="24"/>
      <c r="I167" s="24"/>
      <c r="J167" s="24"/>
      <c r="K167" s="24" t="s">
        <v>289</v>
      </c>
    </row>
    <row r="168" spans="1:11" ht="21" x14ac:dyDescent="0.35">
      <c r="A168" s="105" t="s">
        <v>215</v>
      </c>
      <c r="B168" s="106" t="s">
        <v>276</v>
      </c>
      <c r="C168" s="107" t="s">
        <v>216</v>
      </c>
      <c r="D168" s="25" t="s">
        <v>8</v>
      </c>
      <c r="E168" s="25" t="s">
        <v>290</v>
      </c>
      <c r="F168" s="25" t="s">
        <v>291</v>
      </c>
      <c r="G168" s="25" t="s">
        <v>292</v>
      </c>
      <c r="H168" s="108" t="s">
        <v>293</v>
      </c>
      <c r="I168" s="109" t="s">
        <v>294</v>
      </c>
      <c r="J168" s="109" t="s">
        <v>295</v>
      </c>
      <c r="K168" s="25" t="s">
        <v>296</v>
      </c>
    </row>
    <row r="169" spans="1:11" ht="23.25" x14ac:dyDescent="0.35">
      <c r="A169" s="110" t="s">
        <v>158</v>
      </c>
      <c r="B169" s="60" t="s">
        <v>277</v>
      </c>
      <c r="C169" s="111">
        <v>1</v>
      </c>
      <c r="D169" s="111" t="s">
        <v>19</v>
      </c>
      <c r="E169" s="111" t="s">
        <v>19</v>
      </c>
      <c r="F169" s="100"/>
      <c r="G169" s="101" t="s">
        <v>202</v>
      </c>
      <c r="H169" s="101"/>
      <c r="I169" s="101"/>
      <c r="J169" s="101"/>
      <c r="K169" s="101"/>
    </row>
    <row r="170" spans="1:11" ht="23.25" x14ac:dyDescent="0.35">
      <c r="A170" s="110" t="s">
        <v>161</v>
      </c>
      <c r="B170" s="60" t="s">
        <v>277</v>
      </c>
      <c r="C170" s="111">
        <v>2</v>
      </c>
      <c r="D170" s="111" t="s">
        <v>19</v>
      </c>
      <c r="E170" s="111" t="s">
        <v>19</v>
      </c>
      <c r="F170" s="100"/>
      <c r="G170" s="101" t="s">
        <v>202</v>
      </c>
      <c r="H170" s="101"/>
      <c r="I170" s="101"/>
      <c r="J170" s="101"/>
      <c r="K170" s="101"/>
    </row>
    <row r="171" spans="1:11" ht="23.25" x14ac:dyDescent="0.35">
      <c r="A171" s="102" t="s">
        <v>164</v>
      </c>
      <c r="B171" s="59" t="s">
        <v>278</v>
      </c>
      <c r="C171" s="100">
        <v>3</v>
      </c>
      <c r="D171" s="100" t="s">
        <v>96</v>
      </c>
      <c r="E171" s="99"/>
      <c r="F171" s="99"/>
      <c r="G171" s="101" t="s">
        <v>202</v>
      </c>
      <c r="H171" s="101"/>
      <c r="I171" s="101"/>
      <c r="J171" s="101"/>
      <c r="K171" s="101"/>
    </row>
    <row r="172" spans="1:11" ht="23.25" x14ac:dyDescent="0.35">
      <c r="A172" s="102" t="s">
        <v>167</v>
      </c>
      <c r="B172" s="59" t="s">
        <v>278</v>
      </c>
      <c r="C172" s="100">
        <v>4</v>
      </c>
      <c r="D172" s="100" t="s">
        <v>96</v>
      </c>
      <c r="E172" s="99"/>
      <c r="F172" s="99"/>
      <c r="G172" s="101" t="s">
        <v>202</v>
      </c>
      <c r="H172" s="101"/>
      <c r="I172" s="101"/>
      <c r="J172" s="101"/>
      <c r="K172" s="101"/>
    </row>
    <row r="173" spans="1:11" ht="23.25" x14ac:dyDescent="0.35">
      <c r="A173" s="102" t="s">
        <v>170</v>
      </c>
      <c r="B173" s="59" t="s">
        <v>278</v>
      </c>
      <c r="C173" s="100">
        <v>5</v>
      </c>
      <c r="D173" s="100" t="s">
        <v>96</v>
      </c>
      <c r="E173" s="99"/>
      <c r="F173" s="99"/>
      <c r="G173" s="101" t="s">
        <v>202</v>
      </c>
      <c r="H173" s="103"/>
      <c r="I173" s="103"/>
      <c r="J173" s="103"/>
      <c r="K173" s="103"/>
    </row>
    <row r="174" spans="1:11" ht="23.25" x14ac:dyDescent="0.35">
      <c r="A174" s="112" t="s">
        <v>173</v>
      </c>
      <c r="B174" s="60" t="s">
        <v>278</v>
      </c>
      <c r="C174" s="111">
        <v>6</v>
      </c>
      <c r="D174" s="111" t="s">
        <v>19</v>
      </c>
      <c r="E174" s="111" t="s">
        <v>19</v>
      </c>
      <c r="F174" s="100"/>
      <c r="G174" s="101" t="s">
        <v>202</v>
      </c>
      <c r="H174" s="101"/>
      <c r="I174" s="101"/>
      <c r="J174" s="101"/>
      <c r="K174" s="101"/>
    </row>
    <row r="175" spans="1:11" ht="23.25" x14ac:dyDescent="0.35">
      <c r="A175" s="102" t="s">
        <v>176</v>
      </c>
      <c r="B175" s="59" t="s">
        <v>278</v>
      </c>
      <c r="C175" s="100">
        <v>7</v>
      </c>
      <c r="D175" s="100" t="s">
        <v>96</v>
      </c>
      <c r="E175" s="99"/>
      <c r="F175" s="99"/>
      <c r="G175" s="101" t="s">
        <v>202</v>
      </c>
      <c r="H175" s="101"/>
      <c r="I175" s="101"/>
      <c r="J175" s="101"/>
      <c r="K175" s="101"/>
    </row>
    <row r="176" spans="1:11" ht="46.5" x14ac:dyDescent="0.35">
      <c r="A176" s="104" t="s">
        <v>179</v>
      </c>
      <c r="B176" s="59" t="s">
        <v>278</v>
      </c>
      <c r="C176" s="100">
        <v>8</v>
      </c>
      <c r="D176" s="100" t="s">
        <v>96</v>
      </c>
      <c r="E176" s="99"/>
      <c r="F176" s="99"/>
      <c r="G176" s="101" t="s">
        <v>202</v>
      </c>
      <c r="H176" s="101"/>
      <c r="I176" s="101"/>
      <c r="J176" s="101"/>
      <c r="K176" s="101"/>
    </row>
    <row r="177" spans="1:11" ht="23.25" x14ac:dyDescent="0.35">
      <c r="A177" s="112" t="s">
        <v>182</v>
      </c>
      <c r="B177" s="60" t="s">
        <v>278</v>
      </c>
      <c r="C177" s="111">
        <v>9</v>
      </c>
      <c r="D177" s="111" t="s">
        <v>19</v>
      </c>
      <c r="E177" s="111" t="s">
        <v>19</v>
      </c>
      <c r="F177" s="100"/>
      <c r="G177" s="101" t="s">
        <v>202</v>
      </c>
      <c r="H177" s="101"/>
      <c r="I177" s="101"/>
      <c r="J177" s="101"/>
      <c r="K177" s="101"/>
    </row>
    <row r="178" spans="1:11" ht="23.25" x14ac:dyDescent="0.35">
      <c r="A178" s="112" t="s">
        <v>185</v>
      </c>
      <c r="B178" s="60" t="s">
        <v>278</v>
      </c>
      <c r="C178" s="111">
        <v>10</v>
      </c>
      <c r="D178" s="111" t="s">
        <v>19</v>
      </c>
      <c r="E178" s="111" t="s">
        <v>19</v>
      </c>
      <c r="F178" s="100"/>
      <c r="G178" s="101" t="s">
        <v>202</v>
      </c>
      <c r="H178" s="101"/>
      <c r="I178" s="101"/>
      <c r="J178" s="101"/>
      <c r="K178" s="101"/>
    </row>
    <row r="179" spans="1:11" ht="23.25" x14ac:dyDescent="0.35">
      <c r="A179" s="102" t="s">
        <v>186</v>
      </c>
      <c r="B179" s="59" t="s">
        <v>279</v>
      </c>
      <c r="C179" s="100">
        <v>11</v>
      </c>
      <c r="D179" s="100" t="s">
        <v>96</v>
      </c>
      <c r="E179" s="99"/>
      <c r="F179" s="99"/>
      <c r="G179" s="101" t="s">
        <v>202</v>
      </c>
      <c r="H179" s="101"/>
      <c r="I179" s="101"/>
      <c r="J179" s="101"/>
      <c r="K179" s="101"/>
    </row>
    <row r="180" spans="1:11" ht="23.25" x14ac:dyDescent="0.35">
      <c r="A180" s="102" t="s">
        <v>187</v>
      </c>
      <c r="B180" s="59" t="s">
        <v>279</v>
      </c>
      <c r="C180" s="100">
        <v>12</v>
      </c>
      <c r="D180" s="100" t="s">
        <v>96</v>
      </c>
      <c r="E180" s="99"/>
      <c r="F180" s="99"/>
      <c r="G180" s="101" t="s">
        <v>202</v>
      </c>
      <c r="H180" s="101"/>
      <c r="I180" s="101"/>
      <c r="J180" s="101"/>
      <c r="K180" s="101"/>
    </row>
    <row r="181" spans="1:11" ht="23.25" x14ac:dyDescent="0.35">
      <c r="A181" s="102" t="s">
        <v>188</v>
      </c>
      <c r="B181" s="59" t="s">
        <v>279</v>
      </c>
      <c r="C181" s="100">
        <v>13</v>
      </c>
      <c r="D181" s="100" t="s">
        <v>96</v>
      </c>
      <c r="E181" s="99"/>
      <c r="F181" s="99"/>
      <c r="G181" s="101" t="s">
        <v>202</v>
      </c>
      <c r="H181" s="101"/>
      <c r="I181" s="101"/>
      <c r="J181" s="101"/>
      <c r="K181" s="101"/>
    </row>
    <row r="182" spans="1:11" ht="23.25" x14ac:dyDescent="0.35">
      <c r="A182" s="102" t="s">
        <v>189</v>
      </c>
      <c r="B182" s="59" t="s">
        <v>279</v>
      </c>
      <c r="C182" s="100">
        <v>14</v>
      </c>
      <c r="D182" s="100" t="s">
        <v>96</v>
      </c>
      <c r="E182" s="99"/>
      <c r="F182" s="99"/>
      <c r="G182" s="101" t="s">
        <v>202</v>
      </c>
      <c r="H182" s="101"/>
      <c r="I182" s="101"/>
      <c r="J182" s="101"/>
      <c r="K182" s="101"/>
    </row>
    <row r="183" spans="1:11" ht="23.25" x14ac:dyDescent="0.35">
      <c r="A183" s="110" t="s">
        <v>190</v>
      </c>
      <c r="B183" s="60" t="s">
        <v>280</v>
      </c>
      <c r="C183" s="111">
        <v>15</v>
      </c>
      <c r="D183" s="111" t="s">
        <v>19</v>
      </c>
      <c r="E183" s="111" t="s">
        <v>19</v>
      </c>
      <c r="F183" s="100"/>
      <c r="G183" s="101" t="s">
        <v>202</v>
      </c>
      <c r="H183" s="101"/>
      <c r="I183" s="101"/>
      <c r="J183" s="101"/>
      <c r="K183" s="101"/>
    </row>
    <row r="184" spans="1:11" ht="23.25" x14ac:dyDescent="0.35">
      <c r="A184" s="110" t="s">
        <v>191</v>
      </c>
      <c r="B184" s="60" t="s">
        <v>280</v>
      </c>
      <c r="C184" s="111">
        <v>16</v>
      </c>
      <c r="D184" s="111" t="s">
        <v>19</v>
      </c>
      <c r="E184" s="111" t="s">
        <v>19</v>
      </c>
      <c r="F184" s="100"/>
      <c r="G184" s="101" t="s">
        <v>202</v>
      </c>
      <c r="H184" s="101"/>
      <c r="I184" s="101"/>
      <c r="J184" s="101"/>
      <c r="K184" s="101"/>
    </row>
    <row r="187" spans="1:11" ht="21" x14ac:dyDescent="0.35">
      <c r="A187" s="21" t="s">
        <v>313</v>
      </c>
      <c r="C187" s="27"/>
      <c r="D187" s="61"/>
      <c r="E187" s="27"/>
      <c r="F187" s="22" t="s">
        <v>214</v>
      </c>
      <c r="G187" s="24"/>
      <c r="H187" s="24"/>
      <c r="I187" s="24"/>
      <c r="J187" s="24"/>
      <c r="K187" s="24" t="s">
        <v>289</v>
      </c>
    </row>
    <row r="188" spans="1:11" ht="21" x14ac:dyDescent="0.35">
      <c r="A188" s="105" t="s">
        <v>215</v>
      </c>
      <c r="B188" s="106" t="s">
        <v>276</v>
      </c>
      <c r="C188" s="107" t="s">
        <v>216</v>
      </c>
      <c r="D188" s="25" t="s">
        <v>8</v>
      </c>
      <c r="E188" s="25" t="s">
        <v>290</v>
      </c>
      <c r="F188" s="25" t="s">
        <v>291</v>
      </c>
      <c r="G188" s="25" t="s">
        <v>292</v>
      </c>
      <c r="H188" s="108" t="s">
        <v>293</v>
      </c>
      <c r="I188" s="109" t="s">
        <v>294</v>
      </c>
      <c r="J188" s="109" t="s">
        <v>295</v>
      </c>
      <c r="K188" s="25" t="s">
        <v>296</v>
      </c>
    </row>
    <row r="189" spans="1:11" ht="23.25" x14ac:dyDescent="0.35">
      <c r="A189" s="110" t="s">
        <v>158</v>
      </c>
      <c r="B189" s="60" t="s">
        <v>277</v>
      </c>
      <c r="C189" s="111">
        <v>1</v>
      </c>
      <c r="D189" s="111" t="s">
        <v>19</v>
      </c>
      <c r="E189" s="111" t="s">
        <v>19</v>
      </c>
      <c r="F189" s="100"/>
      <c r="G189" s="101" t="s">
        <v>202</v>
      </c>
      <c r="H189" s="101"/>
      <c r="I189" s="101"/>
      <c r="J189" s="101"/>
      <c r="K189" s="101"/>
    </row>
    <row r="190" spans="1:11" ht="23.25" x14ac:dyDescent="0.35">
      <c r="A190" s="110" t="s">
        <v>161</v>
      </c>
      <c r="B190" s="60" t="s">
        <v>277</v>
      </c>
      <c r="C190" s="111">
        <v>2</v>
      </c>
      <c r="D190" s="111" t="s">
        <v>19</v>
      </c>
      <c r="E190" s="111" t="s">
        <v>19</v>
      </c>
      <c r="F190" s="100"/>
      <c r="G190" s="101" t="s">
        <v>202</v>
      </c>
      <c r="H190" s="101"/>
      <c r="I190" s="101"/>
      <c r="J190" s="101"/>
      <c r="K190" s="101"/>
    </row>
    <row r="191" spans="1:11" ht="23.25" x14ac:dyDescent="0.35">
      <c r="A191" s="102" t="s">
        <v>164</v>
      </c>
      <c r="B191" s="59" t="s">
        <v>278</v>
      </c>
      <c r="C191" s="100">
        <v>3</v>
      </c>
      <c r="D191" s="100" t="s">
        <v>96</v>
      </c>
      <c r="E191" s="99"/>
      <c r="F191" s="99"/>
      <c r="G191" s="101" t="s">
        <v>202</v>
      </c>
      <c r="H191" s="101"/>
      <c r="I191" s="101"/>
      <c r="J191" s="101"/>
      <c r="K191" s="101"/>
    </row>
    <row r="192" spans="1:11" ht="23.25" x14ac:dyDescent="0.35">
      <c r="A192" s="102" t="s">
        <v>167</v>
      </c>
      <c r="B192" s="59" t="s">
        <v>278</v>
      </c>
      <c r="C192" s="100">
        <v>4</v>
      </c>
      <c r="D192" s="100" t="s">
        <v>96</v>
      </c>
      <c r="E192" s="99"/>
      <c r="F192" s="99"/>
      <c r="G192" s="101" t="s">
        <v>202</v>
      </c>
      <c r="H192" s="101"/>
      <c r="I192" s="101"/>
      <c r="J192" s="101"/>
      <c r="K192" s="101"/>
    </row>
    <row r="193" spans="1:11" ht="23.25" x14ac:dyDescent="0.35">
      <c r="A193" s="102" t="s">
        <v>170</v>
      </c>
      <c r="B193" s="59" t="s">
        <v>278</v>
      </c>
      <c r="C193" s="100">
        <v>5</v>
      </c>
      <c r="D193" s="100" t="s">
        <v>96</v>
      </c>
      <c r="E193" s="99"/>
      <c r="F193" s="99"/>
      <c r="G193" s="101" t="s">
        <v>202</v>
      </c>
      <c r="H193" s="103"/>
      <c r="I193" s="103"/>
      <c r="J193" s="103"/>
      <c r="K193" s="103"/>
    </row>
    <row r="194" spans="1:11" ht="23.25" x14ac:dyDescent="0.35">
      <c r="A194" s="112" t="s">
        <v>173</v>
      </c>
      <c r="B194" s="60" t="s">
        <v>278</v>
      </c>
      <c r="C194" s="111">
        <v>6</v>
      </c>
      <c r="D194" s="111" t="s">
        <v>19</v>
      </c>
      <c r="E194" s="111" t="s">
        <v>19</v>
      </c>
      <c r="F194" s="100"/>
      <c r="G194" s="101" t="s">
        <v>202</v>
      </c>
      <c r="H194" s="101"/>
      <c r="I194" s="101"/>
      <c r="J194" s="101"/>
      <c r="K194" s="101"/>
    </row>
    <row r="195" spans="1:11" ht="23.25" x14ac:dyDescent="0.35">
      <c r="A195" s="102" t="s">
        <v>176</v>
      </c>
      <c r="B195" s="59" t="s">
        <v>278</v>
      </c>
      <c r="C195" s="100">
        <v>7</v>
      </c>
      <c r="D195" s="100" t="s">
        <v>96</v>
      </c>
      <c r="E195" s="99"/>
      <c r="F195" s="99"/>
      <c r="G195" s="101" t="s">
        <v>202</v>
      </c>
      <c r="H195" s="101"/>
      <c r="I195" s="101"/>
      <c r="J195" s="101"/>
      <c r="K195" s="101"/>
    </row>
    <row r="196" spans="1:11" ht="46.5" x14ac:dyDescent="0.35">
      <c r="A196" s="104" t="s">
        <v>179</v>
      </c>
      <c r="B196" s="59" t="s">
        <v>278</v>
      </c>
      <c r="C196" s="100">
        <v>8</v>
      </c>
      <c r="D196" s="100" t="s">
        <v>96</v>
      </c>
      <c r="E196" s="99"/>
      <c r="F196" s="99"/>
      <c r="G196" s="101" t="s">
        <v>202</v>
      </c>
      <c r="H196" s="101"/>
      <c r="I196" s="101"/>
      <c r="J196" s="101"/>
      <c r="K196" s="101"/>
    </row>
    <row r="197" spans="1:11" ht="23.25" x14ac:dyDescent="0.35">
      <c r="A197" s="112" t="s">
        <v>182</v>
      </c>
      <c r="B197" s="60" t="s">
        <v>278</v>
      </c>
      <c r="C197" s="111">
        <v>9</v>
      </c>
      <c r="D197" s="111" t="s">
        <v>19</v>
      </c>
      <c r="E197" s="111" t="s">
        <v>19</v>
      </c>
      <c r="F197" s="100"/>
      <c r="G197" s="101" t="s">
        <v>202</v>
      </c>
      <c r="H197" s="101"/>
      <c r="I197" s="101"/>
      <c r="J197" s="101"/>
      <c r="K197" s="101"/>
    </row>
    <row r="198" spans="1:11" ht="23.25" x14ac:dyDescent="0.35">
      <c r="A198" s="112" t="s">
        <v>185</v>
      </c>
      <c r="B198" s="60" t="s">
        <v>278</v>
      </c>
      <c r="C198" s="111">
        <v>10</v>
      </c>
      <c r="D198" s="111" t="s">
        <v>19</v>
      </c>
      <c r="E198" s="111" t="s">
        <v>19</v>
      </c>
      <c r="F198" s="100"/>
      <c r="G198" s="101" t="s">
        <v>202</v>
      </c>
      <c r="H198" s="101"/>
      <c r="I198" s="101"/>
      <c r="J198" s="101"/>
      <c r="K198" s="101"/>
    </row>
    <row r="199" spans="1:11" ht="23.25" x14ac:dyDescent="0.35">
      <c r="A199" s="102" t="s">
        <v>186</v>
      </c>
      <c r="B199" s="59" t="s">
        <v>279</v>
      </c>
      <c r="C199" s="100">
        <v>11</v>
      </c>
      <c r="D199" s="100" t="s">
        <v>96</v>
      </c>
      <c r="E199" s="99"/>
      <c r="F199" s="99"/>
      <c r="G199" s="101" t="s">
        <v>202</v>
      </c>
      <c r="H199" s="101"/>
      <c r="I199" s="101"/>
      <c r="J199" s="101"/>
      <c r="K199" s="101"/>
    </row>
    <row r="200" spans="1:11" ht="23.25" x14ac:dyDescent="0.35">
      <c r="A200" s="102" t="s">
        <v>187</v>
      </c>
      <c r="B200" s="59" t="s">
        <v>279</v>
      </c>
      <c r="C200" s="100">
        <v>12</v>
      </c>
      <c r="D200" s="100" t="s">
        <v>96</v>
      </c>
      <c r="E200" s="99"/>
      <c r="F200" s="99"/>
      <c r="G200" s="101" t="s">
        <v>202</v>
      </c>
      <c r="H200" s="101"/>
      <c r="I200" s="101"/>
      <c r="J200" s="101"/>
      <c r="K200" s="101"/>
    </row>
    <row r="201" spans="1:11" ht="23.25" x14ac:dyDescent="0.35">
      <c r="A201" s="102" t="s">
        <v>188</v>
      </c>
      <c r="B201" s="59" t="s">
        <v>279</v>
      </c>
      <c r="C201" s="100">
        <v>13</v>
      </c>
      <c r="D201" s="100" t="s">
        <v>96</v>
      </c>
      <c r="E201" s="99"/>
      <c r="F201" s="99"/>
      <c r="G201" s="101" t="s">
        <v>202</v>
      </c>
      <c r="H201" s="101"/>
      <c r="I201" s="101"/>
      <c r="J201" s="101"/>
      <c r="K201" s="101"/>
    </row>
    <row r="202" spans="1:11" ht="23.25" x14ac:dyDescent="0.35">
      <c r="A202" s="102" t="s">
        <v>189</v>
      </c>
      <c r="B202" s="59" t="s">
        <v>279</v>
      </c>
      <c r="C202" s="100">
        <v>14</v>
      </c>
      <c r="D202" s="100" t="s">
        <v>96</v>
      </c>
      <c r="E202" s="99"/>
      <c r="F202" s="99"/>
      <c r="G202" s="101" t="s">
        <v>202</v>
      </c>
      <c r="H202" s="101"/>
      <c r="I202" s="101"/>
      <c r="J202" s="101"/>
      <c r="K202" s="101"/>
    </row>
    <row r="203" spans="1:11" ht="23.25" x14ac:dyDescent="0.35">
      <c r="A203" s="110" t="s">
        <v>190</v>
      </c>
      <c r="B203" s="60" t="s">
        <v>280</v>
      </c>
      <c r="C203" s="111">
        <v>15</v>
      </c>
      <c r="D203" s="111" t="s">
        <v>19</v>
      </c>
      <c r="E203" s="111" t="s">
        <v>19</v>
      </c>
      <c r="F203" s="100"/>
      <c r="G203" s="101" t="s">
        <v>202</v>
      </c>
      <c r="H203" s="101"/>
      <c r="I203" s="101"/>
      <c r="J203" s="101"/>
      <c r="K203" s="101"/>
    </row>
    <row r="204" spans="1:11" ht="23.25" x14ac:dyDescent="0.35">
      <c r="A204" s="110" t="s">
        <v>191</v>
      </c>
      <c r="B204" s="60" t="s">
        <v>280</v>
      </c>
      <c r="C204" s="111">
        <v>16</v>
      </c>
      <c r="D204" s="111" t="s">
        <v>19</v>
      </c>
      <c r="E204" s="111" t="s">
        <v>19</v>
      </c>
      <c r="F204" s="100"/>
      <c r="G204" s="101" t="s">
        <v>202</v>
      </c>
      <c r="H204" s="101"/>
      <c r="I204" s="101"/>
      <c r="J204" s="101"/>
      <c r="K204" s="101"/>
    </row>
  </sheetData>
  <mergeCells count="1">
    <mergeCell ref="A163:K164"/>
  </mergeCells>
  <pageMargins left="0.25" right="0.25" top="0.75" bottom="0.75" header="0.3" footer="0.3"/>
  <pageSetup scale="15" orientation="portrait" r:id="rId1"/>
  <headerFooter>
    <oddHeader>&amp;L&amp;16&amp;KFF0000PLEASE PREP FOOD AND WATER AFTER UNLOADING&amp;K01+000
&amp;KFF66FFMUST BE LAVAGED DAILY AFTER UNLOADING&amp;C&amp;16HEROIN INCUBATION + D1 TRAP COHORT 2
ALL FEMALES, LIVE IN ROOM 1015
HEROIN, 0.1 MG/KG&amp;R&amp;16Running in 16-box room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88"/>
  <sheetViews>
    <sheetView tabSelected="1" zoomScale="80" zoomScaleNormal="80" workbookViewId="0">
      <selection activeCell="I44" sqref="I44"/>
    </sheetView>
  </sheetViews>
  <sheetFormatPr defaultRowHeight="15" x14ac:dyDescent="0.25"/>
  <cols>
    <col min="1" max="1" width="11.85546875" bestFit="1" customWidth="1"/>
    <col min="2" max="2" width="9.140625" bestFit="1" customWidth="1"/>
    <col min="3" max="3" width="14.5703125" customWidth="1"/>
    <col min="4" max="4" width="10.42578125" bestFit="1" customWidth="1"/>
    <col min="5" max="5" width="10.5703125" bestFit="1" customWidth="1"/>
    <col min="6" max="6" width="10.7109375" customWidth="1"/>
    <col min="7" max="7" width="13.85546875" customWidth="1"/>
    <col min="8" max="8" width="15" customWidth="1"/>
    <col min="9" max="9" width="24.85546875" bestFit="1" customWidth="1"/>
    <col min="16" max="16" width="8.7109375" style="16"/>
  </cols>
  <sheetData>
    <row r="1" spans="1:16" x14ac:dyDescent="0.25">
      <c r="C1" t="s">
        <v>314</v>
      </c>
      <c r="P1"/>
    </row>
    <row r="2" spans="1:16" x14ac:dyDescent="0.25">
      <c r="C2" t="s">
        <v>315</v>
      </c>
      <c r="D2" t="s">
        <v>316</v>
      </c>
      <c r="P2"/>
    </row>
    <row r="3" spans="1:16" x14ac:dyDescent="0.25">
      <c r="A3" s="10" t="s">
        <v>317</v>
      </c>
      <c r="B3" s="10" t="s">
        <v>318</v>
      </c>
      <c r="C3" s="10" t="s">
        <v>319</v>
      </c>
      <c r="D3" s="10" t="s">
        <v>320</v>
      </c>
      <c r="E3" s="10" t="s">
        <v>223</v>
      </c>
      <c r="F3" s="13" t="s">
        <v>218</v>
      </c>
      <c r="G3" s="13" t="s">
        <v>321</v>
      </c>
      <c r="H3" s="13" t="s">
        <v>322</v>
      </c>
      <c r="I3" s="13" t="s">
        <v>323</v>
      </c>
      <c r="J3" s="13" t="s">
        <v>324</v>
      </c>
      <c r="P3"/>
    </row>
    <row r="4" spans="1:16" x14ac:dyDescent="0.25">
      <c r="A4" t="s">
        <v>325</v>
      </c>
      <c r="B4" t="s">
        <v>326</v>
      </c>
      <c r="C4" t="s">
        <v>22</v>
      </c>
      <c r="D4">
        <v>4</v>
      </c>
      <c r="E4" t="s">
        <v>12</v>
      </c>
      <c r="F4">
        <v>15</v>
      </c>
      <c r="G4">
        <v>78</v>
      </c>
      <c r="H4">
        <v>8</v>
      </c>
      <c r="I4" t="s">
        <v>327</v>
      </c>
      <c r="J4" t="s">
        <v>327</v>
      </c>
      <c r="P4"/>
    </row>
    <row r="5" spans="1:16" x14ac:dyDescent="0.25">
      <c r="A5" t="s">
        <v>325</v>
      </c>
      <c r="B5" t="s">
        <v>326</v>
      </c>
      <c r="C5" t="s">
        <v>44</v>
      </c>
      <c r="D5">
        <v>14</v>
      </c>
      <c r="E5" t="s">
        <v>12</v>
      </c>
      <c r="F5">
        <v>8</v>
      </c>
      <c r="G5">
        <v>22</v>
      </c>
      <c r="H5">
        <v>0</v>
      </c>
      <c r="I5" t="s">
        <v>327</v>
      </c>
      <c r="J5" t="s">
        <v>327</v>
      </c>
      <c r="P5"/>
    </row>
    <row r="6" spans="1:16" x14ac:dyDescent="0.25">
      <c r="P6"/>
    </row>
    <row r="7" spans="1:16" x14ac:dyDescent="0.25">
      <c r="C7" t="s">
        <v>328</v>
      </c>
      <c r="D7" t="s">
        <v>316</v>
      </c>
      <c r="P7"/>
    </row>
    <row r="8" spans="1:16" x14ac:dyDescent="0.25">
      <c r="A8" s="10" t="s">
        <v>317</v>
      </c>
      <c r="B8" s="10" t="s">
        <v>318</v>
      </c>
      <c r="C8" s="10" t="s">
        <v>319</v>
      </c>
      <c r="D8" s="10" t="s">
        <v>320</v>
      </c>
      <c r="E8" s="10" t="s">
        <v>223</v>
      </c>
      <c r="F8" s="13" t="s">
        <v>218</v>
      </c>
      <c r="G8" s="13" t="s">
        <v>321</v>
      </c>
      <c r="H8" s="13" t="s">
        <v>322</v>
      </c>
      <c r="I8" s="13" t="s">
        <v>323</v>
      </c>
      <c r="J8" s="13" t="s">
        <v>324</v>
      </c>
      <c r="P8"/>
    </row>
    <row r="9" spans="1:16" x14ac:dyDescent="0.25">
      <c r="A9" t="s">
        <v>325</v>
      </c>
      <c r="B9" t="s">
        <v>326</v>
      </c>
      <c r="C9" t="s">
        <v>22</v>
      </c>
      <c r="D9">
        <v>4</v>
      </c>
      <c r="E9" t="s">
        <v>12</v>
      </c>
      <c r="F9">
        <v>17</v>
      </c>
      <c r="G9">
        <v>101</v>
      </c>
      <c r="H9">
        <v>18</v>
      </c>
      <c r="I9" t="s">
        <v>327</v>
      </c>
      <c r="J9" t="s">
        <v>327</v>
      </c>
      <c r="P9"/>
    </row>
    <row r="10" spans="1:16" x14ac:dyDescent="0.25">
      <c r="A10" t="s">
        <v>325</v>
      </c>
      <c r="B10" t="s">
        <v>326</v>
      </c>
      <c r="C10" t="s">
        <v>44</v>
      </c>
      <c r="D10">
        <v>14</v>
      </c>
      <c r="E10" t="s">
        <v>12</v>
      </c>
      <c r="F10">
        <v>24</v>
      </c>
      <c r="G10">
        <v>81</v>
      </c>
      <c r="H10">
        <v>18</v>
      </c>
      <c r="I10" t="s">
        <v>327</v>
      </c>
      <c r="J10" t="s">
        <v>327</v>
      </c>
      <c r="P10"/>
    </row>
    <row r="11" spans="1:16" x14ac:dyDescent="0.25">
      <c r="P11"/>
    </row>
    <row r="12" spans="1:16" x14ac:dyDescent="0.25">
      <c r="P12"/>
    </row>
    <row r="13" spans="1:16" x14ac:dyDescent="0.25">
      <c r="C13" t="s">
        <v>329</v>
      </c>
      <c r="P13"/>
    </row>
    <row r="14" spans="1:16" x14ac:dyDescent="0.25">
      <c r="C14" t="s">
        <v>330</v>
      </c>
      <c r="D14" t="s">
        <v>316</v>
      </c>
      <c r="P14"/>
    </row>
    <row r="15" spans="1:16" x14ac:dyDescent="0.25">
      <c r="A15" s="10" t="s">
        <v>317</v>
      </c>
      <c r="B15" s="10" t="s">
        <v>318</v>
      </c>
      <c r="C15" s="10" t="s">
        <v>319</v>
      </c>
      <c r="D15" s="10" t="s">
        <v>320</v>
      </c>
      <c r="E15" s="10" t="s">
        <v>223</v>
      </c>
      <c r="F15" s="13" t="s">
        <v>218</v>
      </c>
      <c r="G15" s="13" t="s">
        <v>321</v>
      </c>
      <c r="H15" s="13" t="s">
        <v>322</v>
      </c>
      <c r="I15" s="13" t="s">
        <v>323</v>
      </c>
      <c r="J15" s="13" t="s">
        <v>324</v>
      </c>
      <c r="P15"/>
    </row>
    <row r="16" spans="1:16" x14ac:dyDescent="0.25">
      <c r="A16" s="54" t="s">
        <v>331</v>
      </c>
      <c r="B16" t="s">
        <v>332</v>
      </c>
      <c r="C16" t="s">
        <v>57</v>
      </c>
      <c r="D16">
        <v>4</v>
      </c>
      <c r="E16" t="s">
        <v>12</v>
      </c>
      <c r="F16">
        <v>9</v>
      </c>
      <c r="G16" s="54">
        <v>23</v>
      </c>
      <c r="H16">
        <v>5</v>
      </c>
      <c r="I16" t="s">
        <v>327</v>
      </c>
      <c r="J16" t="s">
        <v>327</v>
      </c>
      <c r="P16"/>
    </row>
    <row r="17" spans="1:16" x14ac:dyDescent="0.25">
      <c r="A17" s="55" t="s">
        <v>333</v>
      </c>
      <c r="B17" t="s">
        <v>334</v>
      </c>
      <c r="C17" t="s">
        <v>335</v>
      </c>
      <c r="D17">
        <v>16</v>
      </c>
      <c r="E17" t="s">
        <v>12</v>
      </c>
      <c r="F17">
        <v>0</v>
      </c>
      <c r="G17" s="55">
        <v>0</v>
      </c>
      <c r="H17">
        <v>0</v>
      </c>
      <c r="I17" t="s">
        <v>327</v>
      </c>
      <c r="J17" t="s">
        <v>327</v>
      </c>
      <c r="P17"/>
    </row>
    <row r="18" spans="1:16" x14ac:dyDescent="0.25">
      <c r="P18"/>
    </row>
    <row r="19" spans="1:16" x14ac:dyDescent="0.25">
      <c r="C19" t="s">
        <v>336</v>
      </c>
      <c r="D19" t="s">
        <v>316</v>
      </c>
      <c r="P19"/>
    </row>
    <row r="20" spans="1:16" x14ac:dyDescent="0.25">
      <c r="A20" s="10" t="s">
        <v>317</v>
      </c>
      <c r="B20" s="10" t="s">
        <v>318</v>
      </c>
      <c r="C20" s="10" t="s">
        <v>319</v>
      </c>
      <c r="D20" s="10" t="s">
        <v>320</v>
      </c>
      <c r="E20" s="10" t="s">
        <v>223</v>
      </c>
      <c r="F20" s="13" t="s">
        <v>218</v>
      </c>
      <c r="G20" s="13" t="s">
        <v>321</v>
      </c>
      <c r="H20" s="13" t="s">
        <v>322</v>
      </c>
      <c r="I20" s="13" t="s">
        <v>323</v>
      </c>
      <c r="J20" s="13" t="s">
        <v>324</v>
      </c>
      <c r="P20"/>
    </row>
    <row r="21" spans="1:16" x14ac:dyDescent="0.25">
      <c r="A21" t="s">
        <v>337</v>
      </c>
      <c r="B21" t="s">
        <v>332</v>
      </c>
      <c r="C21" t="s">
        <v>57</v>
      </c>
      <c r="D21">
        <v>4</v>
      </c>
      <c r="E21" t="s">
        <v>12</v>
      </c>
      <c r="F21">
        <v>28</v>
      </c>
      <c r="G21">
        <v>123</v>
      </c>
      <c r="H21">
        <v>24</v>
      </c>
      <c r="P21"/>
    </row>
    <row r="22" spans="1:16" x14ac:dyDescent="0.25">
      <c r="A22" t="s">
        <v>333</v>
      </c>
      <c r="B22" t="s">
        <v>334</v>
      </c>
      <c r="C22" t="s">
        <v>335</v>
      </c>
      <c r="D22">
        <v>16</v>
      </c>
      <c r="E22" t="s">
        <v>12</v>
      </c>
      <c r="F22">
        <v>15</v>
      </c>
      <c r="G22">
        <v>23</v>
      </c>
      <c r="H22">
        <v>0</v>
      </c>
      <c r="P22"/>
    </row>
    <row r="23" spans="1:16" x14ac:dyDescent="0.25">
      <c r="P23"/>
    </row>
    <row r="24" spans="1:16" x14ac:dyDescent="0.25">
      <c r="P24"/>
    </row>
    <row r="25" spans="1:16" x14ac:dyDescent="0.25">
      <c r="C25" t="s">
        <v>338</v>
      </c>
      <c r="P25"/>
    </row>
    <row r="26" spans="1:16" x14ac:dyDescent="0.25">
      <c r="C26" t="s">
        <v>339</v>
      </c>
      <c r="D26" t="s">
        <v>316</v>
      </c>
      <c r="P26"/>
    </row>
    <row r="27" spans="1:16" x14ac:dyDescent="0.25">
      <c r="A27" s="10" t="s">
        <v>317</v>
      </c>
      <c r="B27" s="10" t="s">
        <v>318</v>
      </c>
      <c r="C27" s="10" t="s">
        <v>319</v>
      </c>
      <c r="D27" s="10" t="s">
        <v>320</v>
      </c>
      <c r="E27" s="10" t="s">
        <v>223</v>
      </c>
      <c r="F27" s="13" t="s">
        <v>218</v>
      </c>
      <c r="G27" s="13" t="s">
        <v>321</v>
      </c>
      <c r="H27" s="13" t="s">
        <v>322</v>
      </c>
      <c r="I27" s="13" t="s">
        <v>323</v>
      </c>
      <c r="J27" s="13" t="s">
        <v>324</v>
      </c>
      <c r="P27"/>
    </row>
    <row r="28" spans="1:16" x14ac:dyDescent="0.25">
      <c r="A28" t="s">
        <v>325</v>
      </c>
      <c r="B28" t="s">
        <v>340</v>
      </c>
      <c r="C28" t="s">
        <v>341</v>
      </c>
      <c r="D28">
        <v>10</v>
      </c>
      <c r="E28" t="s">
        <v>12</v>
      </c>
      <c r="F28">
        <v>12</v>
      </c>
      <c r="G28">
        <v>72</v>
      </c>
      <c r="H28">
        <v>8</v>
      </c>
      <c r="I28" t="s">
        <v>327</v>
      </c>
      <c r="J28" t="s">
        <v>327</v>
      </c>
      <c r="P28"/>
    </row>
    <row r="29" spans="1:16" x14ac:dyDescent="0.25">
      <c r="A29" t="s">
        <v>325</v>
      </c>
      <c r="B29" t="s">
        <v>340</v>
      </c>
      <c r="C29" t="s">
        <v>342</v>
      </c>
      <c r="D29">
        <v>14</v>
      </c>
      <c r="E29" t="s">
        <v>12</v>
      </c>
      <c r="F29">
        <v>5</v>
      </c>
      <c r="G29">
        <v>7</v>
      </c>
      <c r="H29">
        <v>14</v>
      </c>
      <c r="I29" t="s">
        <v>327</v>
      </c>
      <c r="J29" t="s">
        <v>327</v>
      </c>
      <c r="P29"/>
    </row>
    <row r="30" spans="1:16" x14ac:dyDescent="0.25">
      <c r="P30"/>
    </row>
    <row r="31" spans="1:16" x14ac:dyDescent="0.25">
      <c r="C31" t="s">
        <v>343</v>
      </c>
      <c r="D31" t="s">
        <v>316</v>
      </c>
      <c r="P31"/>
    </row>
    <row r="32" spans="1:16" x14ac:dyDescent="0.25">
      <c r="A32" s="10" t="s">
        <v>317</v>
      </c>
      <c r="B32" s="10" t="s">
        <v>318</v>
      </c>
      <c r="C32" s="10" t="s">
        <v>319</v>
      </c>
      <c r="D32" s="10" t="s">
        <v>320</v>
      </c>
      <c r="E32" s="10" t="s">
        <v>223</v>
      </c>
      <c r="F32" s="13" t="s">
        <v>218</v>
      </c>
      <c r="G32" s="13" t="s">
        <v>321</v>
      </c>
      <c r="H32" s="13" t="s">
        <v>322</v>
      </c>
      <c r="I32" s="13" t="s">
        <v>323</v>
      </c>
      <c r="J32" s="13" t="s">
        <v>324</v>
      </c>
      <c r="P32"/>
    </row>
    <row r="33" spans="1:17" x14ac:dyDescent="0.25">
      <c r="A33" t="s">
        <v>325</v>
      </c>
      <c r="B33" t="s">
        <v>340</v>
      </c>
      <c r="C33" t="s">
        <v>341</v>
      </c>
      <c r="D33">
        <v>10</v>
      </c>
      <c r="E33" t="s">
        <v>12</v>
      </c>
      <c r="F33">
        <v>23</v>
      </c>
      <c r="G33">
        <v>75</v>
      </c>
      <c r="H33">
        <v>7</v>
      </c>
      <c r="I33" t="s">
        <v>327</v>
      </c>
      <c r="J33" t="s">
        <v>327</v>
      </c>
      <c r="P33"/>
    </row>
    <row r="34" spans="1:17" x14ac:dyDescent="0.25">
      <c r="A34" t="s">
        <v>325</v>
      </c>
      <c r="B34" t="s">
        <v>340</v>
      </c>
      <c r="C34" t="s">
        <v>342</v>
      </c>
      <c r="D34">
        <v>14</v>
      </c>
      <c r="E34" t="s">
        <v>12</v>
      </c>
      <c r="F34">
        <v>16</v>
      </c>
      <c r="G34">
        <v>35</v>
      </c>
      <c r="H34">
        <v>31</v>
      </c>
      <c r="I34" t="s">
        <v>327</v>
      </c>
      <c r="J34" t="s">
        <v>327</v>
      </c>
      <c r="P34"/>
    </row>
    <row r="35" spans="1:17" x14ac:dyDescent="0.25">
      <c r="P35"/>
    </row>
    <row r="36" spans="1:17" x14ac:dyDescent="0.25">
      <c r="P36"/>
    </row>
    <row r="37" spans="1:17" x14ac:dyDescent="0.25">
      <c r="C37" t="s">
        <v>344</v>
      </c>
      <c r="P37"/>
    </row>
    <row r="38" spans="1:17" x14ac:dyDescent="0.25">
      <c r="C38" t="s">
        <v>345</v>
      </c>
      <c r="D38" t="s">
        <v>316</v>
      </c>
      <c r="P38"/>
    </row>
    <row r="39" spans="1:17" x14ac:dyDescent="0.25">
      <c r="A39" s="10" t="s">
        <v>317</v>
      </c>
      <c r="B39" s="10" t="s">
        <v>318</v>
      </c>
      <c r="C39" s="10" t="s">
        <v>319</v>
      </c>
      <c r="D39" s="10" t="s">
        <v>320</v>
      </c>
      <c r="E39" s="10" t="s">
        <v>223</v>
      </c>
      <c r="F39" s="13" t="s">
        <v>218</v>
      </c>
      <c r="G39" s="13" t="s">
        <v>321</v>
      </c>
      <c r="H39" s="13" t="s">
        <v>322</v>
      </c>
      <c r="I39" s="13" t="s">
        <v>323</v>
      </c>
      <c r="J39" s="13" t="s">
        <v>324</v>
      </c>
      <c r="P39"/>
    </row>
    <row r="40" spans="1:17" x14ac:dyDescent="0.25">
      <c r="A40" s="55" t="s">
        <v>333</v>
      </c>
      <c r="B40" t="s">
        <v>332</v>
      </c>
      <c r="C40" t="s">
        <v>124</v>
      </c>
      <c r="D40">
        <v>2</v>
      </c>
      <c r="E40" t="s">
        <v>12</v>
      </c>
      <c r="F40">
        <v>8</v>
      </c>
      <c r="G40" s="55">
        <v>32</v>
      </c>
      <c r="H40">
        <v>2</v>
      </c>
      <c r="I40" t="s">
        <v>327</v>
      </c>
      <c r="J40" t="s">
        <v>327</v>
      </c>
      <c r="P40"/>
    </row>
    <row r="41" spans="1:17" x14ac:dyDescent="0.25">
      <c r="P41"/>
    </row>
    <row r="42" spans="1:17" x14ac:dyDescent="0.25">
      <c r="P42"/>
    </row>
    <row r="43" spans="1:17" x14ac:dyDescent="0.25">
      <c r="C43" t="s">
        <v>344</v>
      </c>
      <c r="P43"/>
    </row>
    <row r="44" spans="1:17" x14ac:dyDescent="0.25">
      <c r="C44" t="s">
        <v>346</v>
      </c>
      <c r="D44" t="s">
        <v>316</v>
      </c>
      <c r="O44" s="168"/>
      <c r="P44" s="168"/>
      <c r="Q44" s="168"/>
    </row>
    <row r="45" spans="1:17" x14ac:dyDescent="0.25">
      <c r="A45" s="10" t="s">
        <v>317</v>
      </c>
      <c r="B45" s="10" t="s">
        <v>318</v>
      </c>
      <c r="C45" s="10" t="s">
        <v>319</v>
      </c>
      <c r="D45" s="10" t="s">
        <v>320</v>
      </c>
      <c r="E45" s="10" t="s">
        <v>223</v>
      </c>
      <c r="F45" s="13" t="s">
        <v>218</v>
      </c>
      <c r="G45" s="13" t="s">
        <v>321</v>
      </c>
      <c r="H45" s="13" t="s">
        <v>322</v>
      </c>
      <c r="I45" s="13" t="s">
        <v>323</v>
      </c>
      <c r="J45" s="13" t="s">
        <v>324</v>
      </c>
      <c r="O45" s="168"/>
      <c r="P45" s="168"/>
      <c r="Q45" s="168"/>
    </row>
    <row r="46" spans="1:17" x14ac:dyDescent="0.25">
      <c r="A46" s="55" t="s">
        <v>333</v>
      </c>
      <c r="B46" t="s">
        <v>332</v>
      </c>
      <c r="C46" t="s">
        <v>124</v>
      </c>
      <c r="D46">
        <v>2</v>
      </c>
      <c r="E46" t="s">
        <v>12</v>
      </c>
      <c r="F46">
        <v>10</v>
      </c>
      <c r="G46" s="55">
        <v>148</v>
      </c>
      <c r="H46">
        <v>26</v>
      </c>
      <c r="I46" t="s">
        <v>327</v>
      </c>
      <c r="J46" t="s">
        <v>327</v>
      </c>
      <c r="O46" s="168"/>
      <c r="P46" s="168"/>
      <c r="Q46" s="168"/>
    </row>
    <row r="47" spans="1:17" x14ac:dyDescent="0.25">
      <c r="O47" s="168"/>
      <c r="P47" s="168"/>
      <c r="Q47" s="168"/>
    </row>
    <row r="48" spans="1:17" x14ac:dyDescent="0.25">
      <c r="O48" s="168"/>
      <c r="P48" s="168"/>
      <c r="Q48" s="168"/>
    </row>
    <row r="49" spans="1:17" x14ac:dyDescent="0.25">
      <c r="C49" t="s">
        <v>347</v>
      </c>
      <c r="O49" s="168"/>
      <c r="P49" s="168"/>
      <c r="Q49" s="168"/>
    </row>
    <row r="50" spans="1:17" x14ac:dyDescent="0.25">
      <c r="C50" t="s">
        <v>348</v>
      </c>
      <c r="D50" t="s">
        <v>316</v>
      </c>
      <c r="O50" s="168"/>
      <c r="P50" s="168"/>
      <c r="Q50" s="168"/>
    </row>
    <row r="51" spans="1:17" x14ac:dyDescent="0.25">
      <c r="A51" s="10" t="s">
        <v>317</v>
      </c>
      <c r="B51" s="10" t="s">
        <v>318</v>
      </c>
      <c r="C51" s="10" t="s">
        <v>319</v>
      </c>
      <c r="D51" s="10" t="s">
        <v>320</v>
      </c>
      <c r="E51" s="10" t="s">
        <v>223</v>
      </c>
      <c r="F51" s="13" t="s">
        <v>218</v>
      </c>
      <c r="G51" s="13" t="s">
        <v>321</v>
      </c>
      <c r="H51" s="13" t="s">
        <v>322</v>
      </c>
      <c r="I51" s="13" t="s">
        <v>323</v>
      </c>
      <c r="J51" s="13" t="s">
        <v>324</v>
      </c>
      <c r="P51"/>
    </row>
    <row r="52" spans="1:17" x14ac:dyDescent="0.25">
      <c r="A52" s="54" t="s">
        <v>349</v>
      </c>
      <c r="B52" t="s">
        <v>334</v>
      </c>
      <c r="C52" t="s">
        <v>187</v>
      </c>
      <c r="D52">
        <v>12</v>
      </c>
      <c r="E52" t="s">
        <v>12</v>
      </c>
      <c r="F52">
        <v>12</v>
      </c>
      <c r="G52" s="54">
        <v>20</v>
      </c>
      <c r="H52">
        <v>12</v>
      </c>
      <c r="I52" t="s">
        <v>327</v>
      </c>
      <c r="J52" t="s">
        <v>327</v>
      </c>
      <c r="P52"/>
    </row>
    <row r="53" spans="1:17" x14ac:dyDescent="0.25">
      <c r="A53" s="54" t="s">
        <v>349</v>
      </c>
      <c r="B53" t="s">
        <v>334</v>
      </c>
      <c r="C53" t="s">
        <v>189</v>
      </c>
      <c r="D53">
        <v>14</v>
      </c>
      <c r="E53" t="s">
        <v>12</v>
      </c>
      <c r="F53">
        <v>8</v>
      </c>
      <c r="G53" s="54">
        <v>40</v>
      </c>
      <c r="H53">
        <v>7</v>
      </c>
      <c r="I53" t="s">
        <v>327</v>
      </c>
      <c r="J53" t="s">
        <v>327</v>
      </c>
      <c r="P53"/>
    </row>
    <row r="54" spans="1:17" x14ac:dyDescent="0.25">
      <c r="P54"/>
    </row>
    <row r="55" spans="1:17" x14ac:dyDescent="0.25">
      <c r="P55"/>
    </row>
    <row r="56" spans="1:17" x14ac:dyDescent="0.25">
      <c r="C56" t="s">
        <v>347</v>
      </c>
      <c r="P56"/>
    </row>
    <row r="57" spans="1:17" x14ac:dyDescent="0.25">
      <c r="C57" t="s">
        <v>350</v>
      </c>
      <c r="D57" t="s">
        <v>316</v>
      </c>
      <c r="P57"/>
    </row>
    <row r="58" spans="1:17" x14ac:dyDescent="0.25">
      <c r="A58" s="10" t="s">
        <v>317</v>
      </c>
      <c r="B58" s="10" t="s">
        <v>318</v>
      </c>
      <c r="C58" s="10" t="s">
        <v>319</v>
      </c>
      <c r="D58" s="10" t="s">
        <v>320</v>
      </c>
      <c r="E58" s="10" t="s">
        <v>223</v>
      </c>
      <c r="F58" s="13" t="s">
        <v>218</v>
      </c>
      <c r="G58" s="13" t="s">
        <v>321</v>
      </c>
      <c r="H58" s="13" t="s">
        <v>322</v>
      </c>
      <c r="I58" s="13" t="s">
        <v>323</v>
      </c>
      <c r="J58" s="13" t="s">
        <v>324</v>
      </c>
      <c r="P58"/>
    </row>
    <row r="59" spans="1:17" x14ac:dyDescent="0.25">
      <c r="A59" s="54" t="s">
        <v>349</v>
      </c>
      <c r="B59" t="s">
        <v>334</v>
      </c>
      <c r="C59" t="s">
        <v>187</v>
      </c>
      <c r="D59">
        <v>12</v>
      </c>
      <c r="E59" t="s">
        <v>12</v>
      </c>
      <c r="F59">
        <v>21</v>
      </c>
      <c r="G59" s="54">
        <v>52</v>
      </c>
      <c r="H59">
        <v>20</v>
      </c>
      <c r="I59" t="s">
        <v>327</v>
      </c>
      <c r="J59" t="s">
        <v>327</v>
      </c>
      <c r="P59"/>
    </row>
    <row r="60" spans="1:17" x14ac:dyDescent="0.25">
      <c r="A60" s="54" t="s">
        <v>349</v>
      </c>
      <c r="B60" t="s">
        <v>334</v>
      </c>
      <c r="C60" t="s">
        <v>189</v>
      </c>
      <c r="D60">
        <v>14</v>
      </c>
      <c r="E60" t="s">
        <v>12</v>
      </c>
      <c r="F60">
        <v>19</v>
      </c>
      <c r="G60" s="54">
        <v>86</v>
      </c>
      <c r="H60">
        <v>55</v>
      </c>
      <c r="I60" t="s">
        <v>327</v>
      </c>
      <c r="J60" t="s">
        <v>327</v>
      </c>
      <c r="P60"/>
    </row>
    <row r="61" spans="1:17" x14ac:dyDescent="0.25">
      <c r="P61"/>
    </row>
    <row r="62" spans="1:17" x14ac:dyDescent="0.25">
      <c r="P62"/>
    </row>
    <row r="63" spans="1:17" x14ac:dyDescent="0.25">
      <c r="P63"/>
    </row>
    <row r="64" spans="1:17" x14ac:dyDescent="0.25">
      <c r="P64"/>
    </row>
    <row r="65" spans="16:16" x14ac:dyDescent="0.25">
      <c r="P65"/>
    </row>
    <row r="66" spans="16:16" x14ac:dyDescent="0.25">
      <c r="P66"/>
    </row>
    <row r="67" spans="16:16" x14ac:dyDescent="0.25">
      <c r="P67"/>
    </row>
    <row r="68" spans="16:16" x14ac:dyDescent="0.25">
      <c r="P68"/>
    </row>
    <row r="69" spans="16:16" x14ac:dyDescent="0.25">
      <c r="P69"/>
    </row>
    <row r="70" spans="16:16" x14ac:dyDescent="0.25">
      <c r="P70"/>
    </row>
    <row r="71" spans="16:16" x14ac:dyDescent="0.25">
      <c r="P71"/>
    </row>
    <row r="72" spans="16:16" x14ac:dyDescent="0.25">
      <c r="P72"/>
    </row>
    <row r="73" spans="16:16" x14ac:dyDescent="0.25">
      <c r="P73"/>
    </row>
    <row r="74" spans="16:16" x14ac:dyDescent="0.25">
      <c r="P74"/>
    </row>
    <row r="75" spans="16:16" x14ac:dyDescent="0.25">
      <c r="P75"/>
    </row>
    <row r="76" spans="16:16" x14ac:dyDescent="0.25">
      <c r="P76"/>
    </row>
    <row r="77" spans="16:16" x14ac:dyDescent="0.25">
      <c r="P77"/>
    </row>
    <row r="78" spans="16:16" x14ac:dyDescent="0.25">
      <c r="P78"/>
    </row>
    <row r="79" spans="16:16" x14ac:dyDescent="0.25">
      <c r="P79"/>
    </row>
    <row r="80" spans="16:16" x14ac:dyDescent="0.25">
      <c r="P80"/>
    </row>
    <row r="81" spans="16:16" x14ac:dyDescent="0.25">
      <c r="P81"/>
    </row>
    <row r="82" spans="16:16" x14ac:dyDescent="0.25">
      <c r="P82"/>
    </row>
    <row r="83" spans="16:16" x14ac:dyDescent="0.25">
      <c r="P83"/>
    </row>
    <row r="84" spans="16:16" x14ac:dyDescent="0.25">
      <c r="P84"/>
    </row>
    <row r="85" spans="16:16" x14ac:dyDescent="0.25">
      <c r="P85"/>
    </row>
    <row r="86" spans="16:16" x14ac:dyDescent="0.25">
      <c r="P86"/>
    </row>
    <row r="87" spans="16:16" x14ac:dyDescent="0.25">
      <c r="P87"/>
    </row>
    <row r="88" spans="16:16" x14ac:dyDescent="0.25">
      <c r="P88"/>
    </row>
    <row r="89" spans="16:16" x14ac:dyDescent="0.25">
      <c r="P89"/>
    </row>
    <row r="90" spans="16:16" x14ac:dyDescent="0.25">
      <c r="P90"/>
    </row>
    <row r="91" spans="16:16" x14ac:dyDescent="0.25">
      <c r="P91"/>
    </row>
    <row r="92" spans="16:16" x14ac:dyDescent="0.25">
      <c r="P92"/>
    </row>
    <row r="93" spans="16:16" x14ac:dyDescent="0.25">
      <c r="P93"/>
    </row>
    <row r="94" spans="16:16" x14ac:dyDescent="0.25">
      <c r="P94"/>
    </row>
    <row r="95" spans="16:16" x14ac:dyDescent="0.25">
      <c r="P95"/>
    </row>
    <row r="96" spans="16:16" x14ac:dyDescent="0.25">
      <c r="P96"/>
    </row>
    <row r="97" spans="16:16" x14ac:dyDescent="0.25">
      <c r="P97"/>
    </row>
    <row r="98" spans="16:16" x14ac:dyDescent="0.25">
      <c r="P98"/>
    </row>
    <row r="99" spans="16:16" x14ac:dyDescent="0.25">
      <c r="P99"/>
    </row>
    <row r="100" spans="16:16" x14ac:dyDescent="0.25">
      <c r="P100"/>
    </row>
    <row r="101" spans="16:16" x14ac:dyDescent="0.25">
      <c r="P101"/>
    </row>
    <row r="102" spans="16:16" x14ac:dyDescent="0.25">
      <c r="P102"/>
    </row>
    <row r="103" spans="16:16" x14ac:dyDescent="0.25">
      <c r="P103"/>
    </row>
    <row r="104" spans="16:16" x14ac:dyDescent="0.25">
      <c r="P104"/>
    </row>
    <row r="105" spans="16:16" x14ac:dyDescent="0.25">
      <c r="P105"/>
    </row>
    <row r="106" spans="16:16" x14ac:dyDescent="0.25">
      <c r="P106"/>
    </row>
    <row r="107" spans="16:16" x14ac:dyDescent="0.25">
      <c r="P107"/>
    </row>
    <row r="108" spans="16:16" x14ac:dyDescent="0.25">
      <c r="P108"/>
    </row>
    <row r="109" spans="16:16" x14ac:dyDescent="0.25">
      <c r="P109"/>
    </row>
    <row r="110" spans="16:16" x14ac:dyDescent="0.25">
      <c r="P110"/>
    </row>
    <row r="111" spans="16:16" x14ac:dyDescent="0.25">
      <c r="P111"/>
    </row>
    <row r="112" spans="16:16" x14ac:dyDescent="0.25">
      <c r="P112"/>
    </row>
    <row r="113" spans="16:16" x14ac:dyDescent="0.25">
      <c r="P113"/>
    </row>
    <row r="114" spans="16:16" x14ac:dyDescent="0.25">
      <c r="P114"/>
    </row>
    <row r="115" spans="16:16" x14ac:dyDescent="0.25">
      <c r="P115"/>
    </row>
    <row r="116" spans="16:16" x14ac:dyDescent="0.25">
      <c r="P116"/>
    </row>
    <row r="117" spans="16:16" x14ac:dyDescent="0.25">
      <c r="P117"/>
    </row>
    <row r="118" spans="16:16" x14ac:dyDescent="0.25">
      <c r="P118"/>
    </row>
    <row r="119" spans="16:16" x14ac:dyDescent="0.25">
      <c r="P119"/>
    </row>
    <row r="120" spans="16:16" x14ac:dyDescent="0.25">
      <c r="P120"/>
    </row>
    <row r="121" spans="16:16" x14ac:dyDescent="0.25">
      <c r="P121"/>
    </row>
    <row r="122" spans="16:16" x14ac:dyDescent="0.25">
      <c r="P122"/>
    </row>
    <row r="123" spans="16:16" x14ac:dyDescent="0.25">
      <c r="P123"/>
    </row>
    <row r="124" spans="16:16" x14ac:dyDescent="0.25">
      <c r="P124"/>
    </row>
    <row r="125" spans="16:16" x14ac:dyDescent="0.25">
      <c r="P125"/>
    </row>
    <row r="126" spans="16:16" x14ac:dyDescent="0.25">
      <c r="P126"/>
    </row>
    <row r="127" spans="16:16" x14ac:dyDescent="0.25">
      <c r="P127"/>
    </row>
    <row r="128" spans="16:16" x14ac:dyDescent="0.25">
      <c r="P128"/>
    </row>
    <row r="129" spans="16:16" x14ac:dyDescent="0.25">
      <c r="P129"/>
    </row>
    <row r="130" spans="16:16" x14ac:dyDescent="0.25">
      <c r="P130"/>
    </row>
    <row r="131" spans="16:16" x14ac:dyDescent="0.25">
      <c r="P131"/>
    </row>
    <row r="132" spans="16:16" x14ac:dyDescent="0.25">
      <c r="P132"/>
    </row>
    <row r="133" spans="16:16" x14ac:dyDescent="0.25">
      <c r="P133"/>
    </row>
    <row r="134" spans="16:16" x14ac:dyDescent="0.25">
      <c r="P134"/>
    </row>
    <row r="135" spans="16:16" x14ac:dyDescent="0.25">
      <c r="P135"/>
    </row>
    <row r="136" spans="16:16" x14ac:dyDescent="0.25">
      <c r="P136"/>
    </row>
    <row r="137" spans="16:16" x14ac:dyDescent="0.25">
      <c r="P137"/>
    </row>
    <row r="138" spans="16:16" x14ac:dyDescent="0.25">
      <c r="P138"/>
    </row>
    <row r="139" spans="16:16" x14ac:dyDescent="0.25">
      <c r="P139"/>
    </row>
    <row r="140" spans="16:16" x14ac:dyDescent="0.25">
      <c r="P140"/>
    </row>
    <row r="141" spans="16:16" x14ac:dyDescent="0.25">
      <c r="P141"/>
    </row>
    <row r="142" spans="16:16" x14ac:dyDescent="0.25">
      <c r="P142"/>
    </row>
    <row r="143" spans="16:16" x14ac:dyDescent="0.25">
      <c r="P143"/>
    </row>
    <row r="144" spans="16:16" x14ac:dyDescent="0.25">
      <c r="P144"/>
    </row>
    <row r="145" spans="16:16" x14ac:dyDescent="0.25">
      <c r="P145"/>
    </row>
    <row r="146" spans="16:16" x14ac:dyDescent="0.25">
      <c r="P146"/>
    </row>
    <row r="147" spans="16:16" x14ac:dyDescent="0.25">
      <c r="P147"/>
    </row>
    <row r="148" spans="16:16" x14ac:dyDescent="0.25">
      <c r="P148"/>
    </row>
    <row r="149" spans="16:16" x14ac:dyDescent="0.25">
      <c r="P149"/>
    </row>
    <row r="150" spans="16:16" x14ac:dyDescent="0.25">
      <c r="P150"/>
    </row>
    <row r="151" spans="16:16" x14ac:dyDescent="0.25">
      <c r="P151"/>
    </row>
    <row r="152" spans="16:16" x14ac:dyDescent="0.25">
      <c r="P152"/>
    </row>
    <row r="153" spans="16:16" x14ac:dyDescent="0.25">
      <c r="P153"/>
    </row>
    <row r="154" spans="16:16" x14ac:dyDescent="0.25">
      <c r="P154"/>
    </row>
    <row r="155" spans="16:16" x14ac:dyDescent="0.25">
      <c r="P155"/>
    </row>
    <row r="156" spans="16:16" x14ac:dyDescent="0.25">
      <c r="P156"/>
    </row>
    <row r="157" spans="16:16" x14ac:dyDescent="0.25">
      <c r="P157"/>
    </row>
    <row r="158" spans="16:16" x14ac:dyDescent="0.25">
      <c r="P158"/>
    </row>
    <row r="159" spans="16:16" x14ac:dyDescent="0.25">
      <c r="P159"/>
    </row>
    <row r="160" spans="16:16" x14ac:dyDescent="0.25">
      <c r="P160"/>
    </row>
    <row r="161" spans="16:16" x14ac:dyDescent="0.25">
      <c r="P161"/>
    </row>
    <row r="162" spans="16:16" x14ac:dyDescent="0.25">
      <c r="P162"/>
    </row>
    <row r="163" spans="16:16" x14ac:dyDescent="0.25">
      <c r="P163"/>
    </row>
    <row r="164" spans="16:16" x14ac:dyDescent="0.25">
      <c r="P164"/>
    </row>
    <row r="165" spans="16:16" x14ac:dyDescent="0.25">
      <c r="P165"/>
    </row>
    <row r="166" spans="16:16" x14ac:dyDescent="0.25">
      <c r="P166"/>
    </row>
    <row r="167" spans="16:16" x14ac:dyDescent="0.25">
      <c r="P167"/>
    </row>
    <row r="168" spans="16:16" x14ac:dyDescent="0.25">
      <c r="P168"/>
    </row>
    <row r="169" spans="16:16" x14ac:dyDescent="0.25">
      <c r="P169"/>
    </row>
    <row r="170" spans="16:16" x14ac:dyDescent="0.25">
      <c r="P170"/>
    </row>
    <row r="171" spans="16:16" x14ac:dyDescent="0.25">
      <c r="P171"/>
    </row>
    <row r="172" spans="16:16" x14ac:dyDescent="0.25">
      <c r="P172"/>
    </row>
    <row r="173" spans="16:16" x14ac:dyDescent="0.25">
      <c r="P173"/>
    </row>
    <row r="174" spans="16:16" x14ac:dyDescent="0.25">
      <c r="P174"/>
    </row>
    <row r="175" spans="16:16" x14ac:dyDescent="0.25">
      <c r="P175"/>
    </row>
    <row r="176" spans="16:16" x14ac:dyDescent="0.25">
      <c r="P176"/>
    </row>
    <row r="177" spans="16:16" x14ac:dyDescent="0.25">
      <c r="P177"/>
    </row>
    <row r="178" spans="16:16" x14ac:dyDescent="0.25">
      <c r="P178"/>
    </row>
    <row r="179" spans="16:16" x14ac:dyDescent="0.25">
      <c r="P179"/>
    </row>
    <row r="180" spans="16:16" x14ac:dyDescent="0.25">
      <c r="P180"/>
    </row>
    <row r="181" spans="16:16" x14ac:dyDescent="0.25">
      <c r="P181"/>
    </row>
    <row r="182" spans="16:16" x14ac:dyDescent="0.25">
      <c r="P182"/>
    </row>
    <row r="183" spans="16:16" x14ac:dyDescent="0.25">
      <c r="P183"/>
    </row>
    <row r="184" spans="16:16" x14ac:dyDescent="0.25">
      <c r="P184"/>
    </row>
    <row r="185" spans="16:16" x14ac:dyDescent="0.25">
      <c r="P185"/>
    </row>
    <row r="186" spans="16:16" x14ac:dyDescent="0.25">
      <c r="P186"/>
    </row>
    <row r="187" spans="16:16" x14ac:dyDescent="0.25">
      <c r="P187"/>
    </row>
    <row r="188" spans="16:16" x14ac:dyDescent="0.25">
      <c r="P188"/>
    </row>
    <row r="189" spans="16:16" x14ac:dyDescent="0.25">
      <c r="P189"/>
    </row>
    <row r="190" spans="16:16" x14ac:dyDescent="0.25">
      <c r="P190"/>
    </row>
    <row r="191" spans="16:16" x14ac:dyDescent="0.25">
      <c r="P191"/>
    </row>
    <row r="192" spans="16:16" x14ac:dyDescent="0.25">
      <c r="P192"/>
    </row>
    <row r="193" spans="16:16" x14ac:dyDescent="0.25">
      <c r="P193"/>
    </row>
    <row r="194" spans="16:16" x14ac:dyDescent="0.25">
      <c r="P194"/>
    </row>
    <row r="195" spans="16:16" x14ac:dyDescent="0.25">
      <c r="P195"/>
    </row>
    <row r="196" spans="16:16" x14ac:dyDescent="0.25">
      <c r="P196"/>
    </row>
    <row r="197" spans="16:16" x14ac:dyDescent="0.25">
      <c r="P197"/>
    </row>
    <row r="198" spans="16:16" x14ac:dyDescent="0.25">
      <c r="P198"/>
    </row>
    <row r="199" spans="16:16" x14ac:dyDescent="0.25">
      <c r="P199"/>
    </row>
    <row r="200" spans="16:16" x14ac:dyDescent="0.25">
      <c r="P200"/>
    </row>
    <row r="201" spans="16:16" x14ac:dyDescent="0.25">
      <c r="P201"/>
    </row>
    <row r="202" spans="16:16" x14ac:dyDescent="0.25">
      <c r="P202"/>
    </row>
    <row r="203" spans="16:16" x14ac:dyDescent="0.25">
      <c r="P203"/>
    </row>
    <row r="204" spans="16:16" x14ac:dyDescent="0.25">
      <c r="P204"/>
    </row>
    <row r="205" spans="16:16" x14ac:dyDescent="0.25">
      <c r="P205"/>
    </row>
    <row r="206" spans="16:16" x14ac:dyDescent="0.25">
      <c r="P206"/>
    </row>
    <row r="207" spans="16:16" x14ac:dyDescent="0.25">
      <c r="P207"/>
    </row>
    <row r="208" spans="16:16" x14ac:dyDescent="0.25">
      <c r="P208"/>
    </row>
    <row r="209" spans="16:16" x14ac:dyDescent="0.25">
      <c r="P209"/>
    </row>
    <row r="210" spans="16:16" x14ac:dyDescent="0.25">
      <c r="P210"/>
    </row>
    <row r="211" spans="16:16" x14ac:dyDescent="0.25">
      <c r="P211"/>
    </row>
    <row r="212" spans="16:16" x14ac:dyDescent="0.25">
      <c r="P212"/>
    </row>
    <row r="213" spans="16:16" x14ac:dyDescent="0.25">
      <c r="P213"/>
    </row>
    <row r="214" spans="16:16" x14ac:dyDescent="0.25">
      <c r="P214"/>
    </row>
    <row r="215" spans="16:16" x14ac:dyDescent="0.25">
      <c r="P215"/>
    </row>
    <row r="216" spans="16:16" x14ac:dyDescent="0.25">
      <c r="P216"/>
    </row>
    <row r="217" spans="16:16" x14ac:dyDescent="0.25">
      <c r="P217"/>
    </row>
    <row r="218" spans="16:16" x14ac:dyDescent="0.25">
      <c r="P218"/>
    </row>
    <row r="219" spans="16:16" x14ac:dyDescent="0.25">
      <c r="P219"/>
    </row>
    <row r="220" spans="16:16" x14ac:dyDescent="0.25">
      <c r="P220"/>
    </row>
    <row r="221" spans="16:16" x14ac:dyDescent="0.25">
      <c r="P221"/>
    </row>
    <row r="222" spans="16:16" x14ac:dyDescent="0.25">
      <c r="P222"/>
    </row>
    <row r="223" spans="16:16" x14ac:dyDescent="0.25">
      <c r="P223"/>
    </row>
    <row r="224" spans="16:16" x14ac:dyDescent="0.25">
      <c r="P224"/>
    </row>
    <row r="225" spans="16:16" x14ac:dyDescent="0.25">
      <c r="P225"/>
    </row>
    <row r="226" spans="16:16" x14ac:dyDescent="0.25">
      <c r="P226"/>
    </row>
    <row r="227" spans="16:16" x14ac:dyDescent="0.25">
      <c r="P227"/>
    </row>
    <row r="228" spans="16:16" x14ac:dyDescent="0.25">
      <c r="P228"/>
    </row>
    <row r="229" spans="16:16" x14ac:dyDescent="0.25">
      <c r="P229"/>
    </row>
    <row r="230" spans="16:16" x14ac:dyDescent="0.25">
      <c r="P230"/>
    </row>
    <row r="231" spans="16:16" x14ac:dyDescent="0.25">
      <c r="P231"/>
    </row>
    <row r="232" spans="16:16" x14ac:dyDescent="0.25">
      <c r="P232"/>
    </row>
    <row r="233" spans="16:16" x14ac:dyDescent="0.25">
      <c r="P233"/>
    </row>
    <row r="234" spans="16:16" x14ac:dyDescent="0.25">
      <c r="P234"/>
    </row>
    <row r="235" spans="16:16" x14ac:dyDescent="0.25">
      <c r="P235"/>
    </row>
    <row r="236" spans="16:16" x14ac:dyDescent="0.25">
      <c r="P236"/>
    </row>
    <row r="237" spans="16:16" x14ac:dyDescent="0.25">
      <c r="P237"/>
    </row>
    <row r="238" spans="16:16" x14ac:dyDescent="0.25">
      <c r="P238"/>
    </row>
    <row r="239" spans="16:16" x14ac:dyDescent="0.25">
      <c r="P239"/>
    </row>
    <row r="240" spans="16:16" x14ac:dyDescent="0.25">
      <c r="P240"/>
    </row>
    <row r="241" spans="16:16" x14ac:dyDescent="0.25">
      <c r="P241"/>
    </row>
    <row r="242" spans="16:16" x14ac:dyDescent="0.25">
      <c r="P242"/>
    </row>
    <row r="243" spans="16:16" x14ac:dyDescent="0.25">
      <c r="P243"/>
    </row>
    <row r="244" spans="16:16" x14ac:dyDescent="0.25">
      <c r="P244"/>
    </row>
    <row r="245" spans="16:16" x14ac:dyDescent="0.25">
      <c r="P245"/>
    </row>
    <row r="246" spans="16:16" x14ac:dyDescent="0.25">
      <c r="P246"/>
    </row>
    <row r="247" spans="16:16" x14ac:dyDescent="0.25">
      <c r="P247"/>
    </row>
    <row r="248" spans="16:16" x14ac:dyDescent="0.25">
      <c r="P248"/>
    </row>
    <row r="249" spans="16:16" x14ac:dyDescent="0.25">
      <c r="P249"/>
    </row>
    <row r="250" spans="16:16" x14ac:dyDescent="0.25">
      <c r="P250"/>
    </row>
    <row r="251" spans="16:16" x14ac:dyDescent="0.25">
      <c r="P251"/>
    </row>
    <row r="252" spans="16:16" x14ac:dyDescent="0.25">
      <c r="P252"/>
    </row>
    <row r="253" spans="16:16" x14ac:dyDescent="0.25">
      <c r="P253"/>
    </row>
    <row r="254" spans="16:16" x14ac:dyDescent="0.25">
      <c r="P254"/>
    </row>
    <row r="255" spans="16:16" x14ac:dyDescent="0.25">
      <c r="P255"/>
    </row>
    <row r="256" spans="16:16" x14ac:dyDescent="0.25">
      <c r="P256"/>
    </row>
    <row r="257" spans="16:16" x14ac:dyDescent="0.25">
      <c r="P257"/>
    </row>
    <row r="258" spans="16:16" x14ac:dyDescent="0.25">
      <c r="P258"/>
    </row>
    <row r="259" spans="16:16" x14ac:dyDescent="0.25">
      <c r="P259"/>
    </row>
    <row r="260" spans="16:16" x14ac:dyDescent="0.25">
      <c r="P260"/>
    </row>
    <row r="261" spans="16:16" x14ac:dyDescent="0.25">
      <c r="P261"/>
    </row>
    <row r="262" spans="16:16" x14ac:dyDescent="0.25">
      <c r="P262"/>
    </row>
    <row r="263" spans="16:16" x14ac:dyDescent="0.25">
      <c r="P263"/>
    </row>
    <row r="264" spans="16:16" x14ac:dyDescent="0.25">
      <c r="P264"/>
    </row>
    <row r="265" spans="16:16" x14ac:dyDescent="0.25">
      <c r="P265"/>
    </row>
    <row r="266" spans="16:16" x14ac:dyDescent="0.25">
      <c r="P266"/>
    </row>
    <row r="267" spans="16:16" x14ac:dyDescent="0.25">
      <c r="P267"/>
    </row>
    <row r="268" spans="16:16" x14ac:dyDescent="0.25">
      <c r="P268"/>
    </row>
    <row r="269" spans="16:16" x14ac:dyDescent="0.25">
      <c r="P269"/>
    </row>
    <row r="270" spans="16:16" x14ac:dyDescent="0.25">
      <c r="P270"/>
    </row>
    <row r="271" spans="16:16" x14ac:dyDescent="0.25">
      <c r="P271"/>
    </row>
    <row r="272" spans="16:16" x14ac:dyDescent="0.25">
      <c r="P272"/>
    </row>
    <row r="273" spans="16:16" x14ac:dyDescent="0.25">
      <c r="P273"/>
    </row>
    <row r="274" spans="16:16" x14ac:dyDescent="0.25">
      <c r="P274"/>
    </row>
    <row r="275" spans="16:16" x14ac:dyDescent="0.25">
      <c r="P275"/>
    </row>
    <row r="276" spans="16:16" x14ac:dyDescent="0.25">
      <c r="P276"/>
    </row>
    <row r="277" spans="16:16" x14ac:dyDescent="0.25">
      <c r="P277"/>
    </row>
    <row r="278" spans="16:16" x14ac:dyDescent="0.25">
      <c r="P278"/>
    </row>
    <row r="279" spans="16:16" x14ac:dyDescent="0.25">
      <c r="P279"/>
    </row>
    <row r="280" spans="16:16" x14ac:dyDescent="0.25">
      <c r="P280"/>
    </row>
    <row r="281" spans="16:16" x14ac:dyDescent="0.25">
      <c r="P281"/>
    </row>
    <row r="282" spans="16:16" x14ac:dyDescent="0.25">
      <c r="P282"/>
    </row>
    <row r="283" spans="16:16" x14ac:dyDescent="0.25">
      <c r="P283"/>
    </row>
    <row r="284" spans="16:16" x14ac:dyDescent="0.25">
      <c r="P284"/>
    </row>
    <row r="285" spans="16:16" x14ac:dyDescent="0.25">
      <c r="P285"/>
    </row>
    <row r="286" spans="16:16" x14ac:dyDescent="0.25">
      <c r="P286"/>
    </row>
    <row r="287" spans="16:16" x14ac:dyDescent="0.25">
      <c r="P287"/>
    </row>
    <row r="288" spans="16:16" x14ac:dyDescent="0.25">
      <c r="P288"/>
    </row>
  </sheetData>
  <sortState xmlns:xlrd2="http://schemas.microsoft.com/office/spreadsheetml/2017/richdata2" ref="O35:U59">
    <sortCondition sortBy="cellColor" ref="O35:O59" dxfId="0"/>
  </sortState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C0C9-B0F0-464C-8EA4-CA40E34758C7}">
  <dimension ref="A2:BA62"/>
  <sheetViews>
    <sheetView topLeftCell="AD1" workbookViewId="0">
      <selection activeCell="AP13" sqref="AP13"/>
    </sheetView>
  </sheetViews>
  <sheetFormatPr defaultRowHeight="15" x14ac:dyDescent="0.25"/>
  <cols>
    <col min="1" max="1" width="15.42578125" customWidth="1"/>
    <col min="2" max="2" width="16.5703125" customWidth="1"/>
    <col min="30" max="30" width="15.140625" customWidth="1"/>
    <col min="31" max="31" width="12.42578125" customWidth="1"/>
  </cols>
  <sheetData>
    <row r="2" spans="1:53" ht="55.5" customHeight="1" x14ac:dyDescent="0.25">
      <c r="A2" s="86" t="s">
        <v>351</v>
      </c>
      <c r="B2" s="85" t="s">
        <v>352</v>
      </c>
      <c r="C2" s="173" t="s">
        <v>353</v>
      </c>
      <c r="D2" s="173"/>
      <c r="E2" s="93" t="s">
        <v>239</v>
      </c>
      <c r="F2" s="91"/>
    </row>
    <row r="5" spans="1:53" x14ac:dyDescent="0.25">
      <c r="B5" s="53" t="s">
        <v>218</v>
      </c>
      <c r="C5" s="7"/>
      <c r="D5" s="7"/>
      <c r="AA5" s="7"/>
      <c r="AB5" s="7"/>
      <c r="AC5" s="7"/>
      <c r="AE5" s="53" t="s">
        <v>218</v>
      </c>
    </row>
    <row r="6" spans="1:53" x14ac:dyDescent="0.25">
      <c r="B6" s="7" t="s">
        <v>215</v>
      </c>
      <c r="C6" s="7" t="s">
        <v>216</v>
      </c>
      <c r="D6" s="7" t="s">
        <v>8</v>
      </c>
      <c r="E6" s="7" t="s">
        <v>354</v>
      </c>
      <c r="F6" s="7" t="s">
        <v>355</v>
      </c>
      <c r="G6" s="7" t="s">
        <v>356</v>
      </c>
      <c r="H6" s="7" t="s">
        <v>357</v>
      </c>
      <c r="I6" s="7" t="s">
        <v>358</v>
      </c>
      <c r="J6" s="7" t="s">
        <v>359</v>
      </c>
      <c r="K6" s="7" t="s">
        <v>360</v>
      </c>
      <c r="L6" s="7" t="s">
        <v>361</v>
      </c>
      <c r="M6" s="7" t="s">
        <v>362</v>
      </c>
      <c r="N6" s="7" t="s">
        <v>363</v>
      </c>
      <c r="O6" s="90" t="s">
        <v>364</v>
      </c>
      <c r="P6" s="90" t="s">
        <v>365</v>
      </c>
      <c r="Q6" s="90" t="s">
        <v>366</v>
      </c>
      <c r="R6" s="90" t="s">
        <v>367</v>
      </c>
      <c r="S6" s="90"/>
      <c r="T6" s="90" t="s">
        <v>368</v>
      </c>
      <c r="U6" s="37"/>
      <c r="V6" s="90" t="s">
        <v>369</v>
      </c>
      <c r="W6" s="37"/>
      <c r="X6" s="90" t="s">
        <v>370</v>
      </c>
      <c r="AE6" s="7" t="s">
        <v>215</v>
      </c>
      <c r="AF6" s="7" t="s">
        <v>216</v>
      </c>
      <c r="AG6" s="7" t="s">
        <v>8</v>
      </c>
      <c r="AH6" s="7" t="s">
        <v>354</v>
      </c>
      <c r="AI6" s="7" t="s">
        <v>355</v>
      </c>
      <c r="AJ6" s="7" t="s">
        <v>356</v>
      </c>
      <c r="AK6" s="7" t="s">
        <v>357</v>
      </c>
      <c r="AL6" s="7" t="s">
        <v>358</v>
      </c>
      <c r="AM6" s="7" t="s">
        <v>359</v>
      </c>
      <c r="AN6" s="7" t="s">
        <v>360</v>
      </c>
      <c r="AO6" s="7" t="s">
        <v>361</v>
      </c>
      <c r="AP6" s="7" t="s">
        <v>362</v>
      </c>
      <c r="AQ6" s="7" t="s">
        <v>363</v>
      </c>
      <c r="AR6" s="90" t="s">
        <v>364</v>
      </c>
      <c r="AS6" s="90" t="s">
        <v>365</v>
      </c>
      <c r="AT6" s="90" t="s">
        <v>366</v>
      </c>
      <c r="AU6" s="90" t="s">
        <v>367</v>
      </c>
      <c r="AV6" s="90"/>
      <c r="AW6" s="90" t="s">
        <v>368</v>
      </c>
      <c r="AX6" s="37"/>
      <c r="AY6" s="90" t="s">
        <v>369</v>
      </c>
      <c r="AZ6" s="37"/>
      <c r="BA6" s="90" t="s">
        <v>370</v>
      </c>
    </row>
    <row r="7" spans="1:53" ht="15" customHeight="1" x14ac:dyDescent="0.25">
      <c r="A7" s="176" t="s">
        <v>329</v>
      </c>
      <c r="B7" s="137" t="s">
        <v>50</v>
      </c>
      <c r="C7" s="138">
        <v>1</v>
      </c>
      <c r="D7" s="139" t="s">
        <v>12</v>
      </c>
      <c r="E7" s="87">
        <v>32</v>
      </c>
      <c r="F7" s="87">
        <v>45</v>
      </c>
      <c r="G7" s="87">
        <v>60</v>
      </c>
      <c r="H7" s="87">
        <v>75</v>
      </c>
      <c r="I7" s="87">
        <v>75</v>
      </c>
      <c r="J7" s="87">
        <v>75</v>
      </c>
      <c r="K7" s="87">
        <v>75</v>
      </c>
      <c r="L7" s="87">
        <v>75</v>
      </c>
      <c r="M7" s="87">
        <v>75</v>
      </c>
      <c r="N7" s="88">
        <v>75</v>
      </c>
      <c r="O7" s="83"/>
      <c r="P7" s="83"/>
      <c r="Q7" s="83"/>
      <c r="R7" s="83"/>
      <c r="S7" s="83"/>
      <c r="T7" s="83" t="e">
        <f>AVERAGE(O7:R7)</f>
        <v>#DIV/0!</v>
      </c>
      <c r="U7" s="83"/>
      <c r="V7" s="83"/>
      <c r="W7" s="83"/>
      <c r="X7" s="83" t="e">
        <f>AVERAGE(O7:P7)</f>
        <v>#DIV/0!</v>
      </c>
      <c r="AD7" s="174" t="s">
        <v>329</v>
      </c>
      <c r="AE7" s="131" t="s">
        <v>68</v>
      </c>
      <c r="AF7" s="131">
        <v>8</v>
      </c>
      <c r="AG7" s="132" t="s">
        <v>19</v>
      </c>
      <c r="AH7" s="87">
        <v>9</v>
      </c>
      <c r="AI7" s="87">
        <v>39</v>
      </c>
      <c r="AJ7" s="87">
        <v>10</v>
      </c>
      <c r="AK7" s="87">
        <v>3</v>
      </c>
      <c r="AL7" s="87">
        <v>6</v>
      </c>
      <c r="AM7" s="87">
        <v>2</v>
      </c>
      <c r="AN7" s="87">
        <v>0</v>
      </c>
      <c r="AO7" s="87">
        <v>1</v>
      </c>
      <c r="AP7" s="87">
        <v>0</v>
      </c>
      <c r="AQ7" s="88">
        <v>0</v>
      </c>
      <c r="AW7" t="e">
        <f>AVERAGE(AR7:AU7)</f>
        <v>#DIV/0!</v>
      </c>
      <c r="BA7" t="e">
        <f>AVERAGE(AR7:AS7)</f>
        <v>#DIV/0!</v>
      </c>
    </row>
    <row r="8" spans="1:53" ht="15" customHeight="1" x14ac:dyDescent="0.25">
      <c r="A8" s="177"/>
      <c r="B8" s="92" t="s">
        <v>53</v>
      </c>
      <c r="C8" s="84">
        <v>2</v>
      </c>
      <c r="D8" s="45" t="s">
        <v>12</v>
      </c>
      <c r="E8" s="81">
        <v>14</v>
      </c>
      <c r="F8" s="81">
        <v>33</v>
      </c>
      <c r="G8" s="81">
        <v>28</v>
      </c>
      <c r="H8" s="81">
        <v>29</v>
      </c>
      <c r="I8" s="81">
        <v>18</v>
      </c>
      <c r="J8" s="81">
        <v>24</v>
      </c>
      <c r="K8" s="81">
        <v>17</v>
      </c>
      <c r="L8" s="81">
        <v>19</v>
      </c>
      <c r="M8" s="81">
        <v>24</v>
      </c>
      <c r="N8" s="89">
        <v>38</v>
      </c>
      <c r="O8" s="83"/>
      <c r="P8" s="83"/>
      <c r="Q8" s="83"/>
      <c r="R8" s="83"/>
      <c r="S8" s="83"/>
      <c r="T8" s="83" t="e">
        <f t="shared" ref="T8:T38" si="0">AVERAGE(O8:R8)</f>
        <v>#DIV/0!</v>
      </c>
      <c r="U8" s="83"/>
      <c r="V8" s="83"/>
      <c r="W8" s="83"/>
      <c r="X8" s="83" t="e">
        <f t="shared" ref="X8:X38" si="1">AVERAGE(O8:P8)</f>
        <v>#DIV/0!</v>
      </c>
      <c r="AD8" s="171"/>
      <c r="AE8" s="124" t="s">
        <v>70</v>
      </c>
      <c r="AF8" s="124">
        <v>9</v>
      </c>
      <c r="AG8" s="43" t="s">
        <v>19</v>
      </c>
      <c r="AH8" s="81">
        <v>33</v>
      </c>
      <c r="AI8" s="81">
        <v>39</v>
      </c>
      <c r="AJ8" s="81">
        <v>18</v>
      </c>
      <c r="AK8" s="81">
        <v>8</v>
      </c>
      <c r="AL8" s="81">
        <v>8</v>
      </c>
      <c r="AM8" s="81">
        <v>7</v>
      </c>
      <c r="AN8" s="81">
        <v>6</v>
      </c>
      <c r="AO8" s="81">
        <v>6</v>
      </c>
      <c r="AP8" s="81">
        <v>7</v>
      </c>
      <c r="AQ8" s="89">
        <v>6</v>
      </c>
      <c r="AW8" t="e">
        <f t="shared" ref="AW8:AW18" si="2">AVERAGE(AR8:AU8)</f>
        <v>#DIV/0!</v>
      </c>
      <c r="BA8" t="e">
        <f t="shared" ref="BA8:BA18" si="3">AVERAGE(AR8:AS8)</f>
        <v>#DIV/0!</v>
      </c>
    </row>
    <row r="9" spans="1:53" ht="15" customHeight="1" x14ac:dyDescent="0.25">
      <c r="A9" s="177"/>
      <c r="B9" s="92" t="s">
        <v>55</v>
      </c>
      <c r="C9" s="84">
        <v>3</v>
      </c>
      <c r="D9" s="45" t="s">
        <v>12</v>
      </c>
      <c r="E9" s="81">
        <v>23</v>
      </c>
      <c r="F9" s="81">
        <v>45</v>
      </c>
      <c r="G9" s="81">
        <v>45</v>
      </c>
      <c r="H9" s="81">
        <v>18</v>
      </c>
      <c r="I9" s="81">
        <v>33</v>
      </c>
      <c r="J9" s="81">
        <v>40</v>
      </c>
      <c r="K9" s="81">
        <v>55</v>
      </c>
      <c r="L9" s="81">
        <v>15</v>
      </c>
      <c r="M9" s="81">
        <v>5</v>
      </c>
      <c r="N9" s="89">
        <v>14</v>
      </c>
      <c r="O9" s="83"/>
      <c r="P9" s="83"/>
      <c r="Q9" s="83"/>
      <c r="R9" s="83"/>
      <c r="S9" s="83"/>
      <c r="T9" s="83" t="e">
        <f t="shared" si="0"/>
        <v>#DIV/0!</v>
      </c>
      <c r="U9" s="83"/>
      <c r="V9" s="83"/>
      <c r="W9" s="83"/>
      <c r="X9" s="83" t="e">
        <f t="shared" si="1"/>
        <v>#DIV/0!</v>
      </c>
      <c r="AD9" s="171"/>
      <c r="AE9" s="124" t="s">
        <v>73</v>
      </c>
      <c r="AF9" s="124">
        <v>10</v>
      </c>
      <c r="AG9" s="43" t="s">
        <v>19</v>
      </c>
      <c r="AH9" s="81">
        <v>18</v>
      </c>
      <c r="AI9" s="81">
        <v>15</v>
      </c>
      <c r="AJ9" s="81">
        <v>19</v>
      </c>
      <c r="AK9" s="81">
        <v>6</v>
      </c>
      <c r="AL9" s="81">
        <v>6</v>
      </c>
      <c r="AM9" s="81">
        <v>4</v>
      </c>
      <c r="AN9" s="81">
        <v>5</v>
      </c>
      <c r="AO9" s="81">
        <v>4</v>
      </c>
      <c r="AP9" s="81">
        <v>7</v>
      </c>
      <c r="AQ9" s="89">
        <v>4</v>
      </c>
      <c r="AW9" t="e">
        <f t="shared" si="2"/>
        <v>#DIV/0!</v>
      </c>
      <c r="BA9" t="e">
        <f t="shared" si="3"/>
        <v>#DIV/0!</v>
      </c>
    </row>
    <row r="10" spans="1:53" ht="15" customHeight="1" x14ac:dyDescent="0.25">
      <c r="A10" s="177"/>
      <c r="B10" s="92" t="s">
        <v>57</v>
      </c>
      <c r="C10" s="84">
        <v>4</v>
      </c>
      <c r="D10" s="45" t="s">
        <v>12</v>
      </c>
      <c r="E10" s="81">
        <v>19</v>
      </c>
      <c r="F10" s="81">
        <v>42</v>
      </c>
      <c r="G10" s="81">
        <v>41</v>
      </c>
      <c r="H10" s="81">
        <v>55</v>
      </c>
      <c r="I10" s="81">
        <v>57</v>
      </c>
      <c r="J10" s="81">
        <v>45</v>
      </c>
      <c r="K10" s="81">
        <v>67</v>
      </c>
      <c r="L10" s="81">
        <v>42</v>
      </c>
      <c r="M10" s="81">
        <v>43</v>
      </c>
      <c r="N10" s="89">
        <v>53</v>
      </c>
      <c r="O10" s="83"/>
      <c r="P10" s="83"/>
      <c r="Q10" s="83"/>
      <c r="R10" s="83"/>
      <c r="S10" s="83"/>
      <c r="T10" s="83" t="e">
        <f t="shared" si="0"/>
        <v>#DIV/0!</v>
      </c>
      <c r="U10" s="83"/>
      <c r="V10" s="83"/>
      <c r="W10" s="83"/>
      <c r="X10" s="83" t="e">
        <f t="shared" si="1"/>
        <v>#DIV/0!</v>
      </c>
      <c r="AD10" s="175"/>
      <c r="AE10" s="129" t="s">
        <v>75</v>
      </c>
      <c r="AF10" s="129">
        <v>11</v>
      </c>
      <c r="AG10" s="130" t="s">
        <v>19</v>
      </c>
      <c r="AH10" s="127">
        <v>34</v>
      </c>
      <c r="AI10" s="127">
        <v>51</v>
      </c>
      <c r="AJ10" s="127">
        <v>40</v>
      </c>
      <c r="AK10" s="127">
        <v>19</v>
      </c>
      <c r="AL10" s="127">
        <v>1</v>
      </c>
      <c r="AM10" s="140"/>
      <c r="AN10" s="140"/>
      <c r="AO10" s="140"/>
      <c r="AP10" s="140"/>
      <c r="AQ10" s="141"/>
      <c r="AW10" t="e">
        <f t="shared" si="2"/>
        <v>#DIV/0!</v>
      </c>
      <c r="BA10" t="e">
        <f t="shared" si="3"/>
        <v>#DIV/0!</v>
      </c>
    </row>
    <row r="11" spans="1:53" ht="15" customHeight="1" x14ac:dyDescent="0.25">
      <c r="A11" s="177"/>
      <c r="B11" s="92" t="s">
        <v>59</v>
      </c>
      <c r="C11" s="84">
        <v>5</v>
      </c>
      <c r="D11" s="45" t="s">
        <v>12</v>
      </c>
      <c r="E11" s="81">
        <v>27</v>
      </c>
      <c r="F11" s="81">
        <v>35</v>
      </c>
      <c r="G11" s="81">
        <v>36</v>
      </c>
      <c r="H11" s="81">
        <v>37</v>
      </c>
      <c r="I11" s="81">
        <v>44</v>
      </c>
      <c r="J11" s="81">
        <v>40</v>
      </c>
      <c r="K11" s="81">
        <v>65</v>
      </c>
      <c r="L11" s="81">
        <v>68</v>
      </c>
      <c r="M11" s="81">
        <v>0</v>
      </c>
      <c r="N11" s="89">
        <v>52</v>
      </c>
      <c r="O11" s="83"/>
      <c r="P11" s="83"/>
      <c r="Q11" s="83"/>
      <c r="R11" s="83"/>
      <c r="S11" s="83"/>
      <c r="T11" s="83" t="e">
        <f t="shared" si="0"/>
        <v>#DIV/0!</v>
      </c>
      <c r="U11" s="83"/>
      <c r="V11" s="83"/>
      <c r="W11" s="83"/>
      <c r="X11" s="83" t="e">
        <f t="shared" si="1"/>
        <v>#DIV/0!</v>
      </c>
      <c r="AD11" s="174" t="s">
        <v>344</v>
      </c>
      <c r="AE11" s="131" t="s">
        <v>133</v>
      </c>
      <c r="AF11" s="131">
        <v>5</v>
      </c>
      <c r="AG11" s="132" t="s">
        <v>19</v>
      </c>
      <c r="AH11" s="154">
        <v>75</v>
      </c>
      <c r="AI11" s="154">
        <v>54</v>
      </c>
      <c r="AJ11" s="154">
        <v>55</v>
      </c>
      <c r="AK11" s="152">
        <v>74</v>
      </c>
      <c r="AL11" s="154">
        <v>75</v>
      </c>
      <c r="AM11" s="154">
        <v>75</v>
      </c>
      <c r="AN11" s="152">
        <v>14</v>
      </c>
      <c r="AO11" s="152">
        <v>7</v>
      </c>
      <c r="AP11" s="152">
        <v>66</v>
      </c>
      <c r="AQ11" s="159">
        <v>50</v>
      </c>
      <c r="AR11">
        <v>4</v>
      </c>
      <c r="AS11">
        <v>5</v>
      </c>
      <c r="AW11">
        <f t="shared" si="2"/>
        <v>4.5</v>
      </c>
      <c r="AY11">
        <v>2</v>
      </c>
      <c r="BA11">
        <f t="shared" si="3"/>
        <v>4.5</v>
      </c>
    </row>
    <row r="12" spans="1:53" ht="15" customHeight="1" x14ac:dyDescent="0.25">
      <c r="A12" s="177"/>
      <c r="B12" s="92" t="s">
        <v>62</v>
      </c>
      <c r="C12" s="84">
        <v>6</v>
      </c>
      <c r="D12" s="45" t="s">
        <v>12</v>
      </c>
      <c r="E12" s="81">
        <v>24</v>
      </c>
      <c r="F12" s="81">
        <v>38</v>
      </c>
      <c r="G12" s="81">
        <v>45</v>
      </c>
      <c r="H12" s="81">
        <v>30</v>
      </c>
      <c r="I12" s="81">
        <v>54</v>
      </c>
      <c r="J12" s="81">
        <v>43</v>
      </c>
      <c r="K12" s="81">
        <v>51</v>
      </c>
      <c r="L12" s="81">
        <v>68</v>
      </c>
      <c r="M12" s="81">
        <v>51</v>
      </c>
      <c r="N12" s="89">
        <v>64</v>
      </c>
      <c r="O12" s="83"/>
      <c r="P12" s="83"/>
      <c r="Q12" s="83"/>
      <c r="R12" s="83"/>
      <c r="S12" s="83"/>
      <c r="T12" s="83" t="e">
        <f t="shared" si="0"/>
        <v>#DIV/0!</v>
      </c>
      <c r="U12" s="83"/>
      <c r="V12" s="83"/>
      <c r="W12" s="83"/>
      <c r="X12" s="83" t="e">
        <f t="shared" si="1"/>
        <v>#DIV/0!</v>
      </c>
      <c r="AD12" s="171"/>
      <c r="AE12" s="124" t="s">
        <v>136</v>
      </c>
      <c r="AF12" s="124">
        <v>6</v>
      </c>
      <c r="AG12" s="43" t="s">
        <v>19</v>
      </c>
      <c r="AH12" s="155">
        <v>55</v>
      </c>
      <c r="AI12" s="147">
        <v>75</v>
      </c>
      <c r="AJ12" s="147">
        <v>62</v>
      </c>
      <c r="AK12" s="147">
        <v>53</v>
      </c>
      <c r="AL12" s="155">
        <v>60</v>
      </c>
      <c r="AM12" s="155">
        <v>43</v>
      </c>
      <c r="AN12" s="147">
        <v>11</v>
      </c>
      <c r="AO12" s="147">
        <v>27</v>
      </c>
      <c r="AP12" s="155">
        <v>35</v>
      </c>
      <c r="AQ12" s="156">
        <v>22</v>
      </c>
      <c r="AR12">
        <v>4</v>
      </c>
      <c r="AS12">
        <v>4</v>
      </c>
      <c r="AW12">
        <f t="shared" si="2"/>
        <v>4</v>
      </c>
      <c r="AY12">
        <v>2</v>
      </c>
      <c r="BA12">
        <f t="shared" si="3"/>
        <v>4</v>
      </c>
    </row>
    <row r="13" spans="1:53" ht="15" customHeight="1" x14ac:dyDescent="0.25">
      <c r="A13" s="177"/>
      <c r="B13" s="92" t="s">
        <v>65</v>
      </c>
      <c r="C13" s="84">
        <v>7</v>
      </c>
      <c r="D13" s="45" t="s">
        <v>12</v>
      </c>
      <c r="E13" s="81">
        <v>25</v>
      </c>
      <c r="F13" s="81">
        <v>45</v>
      </c>
      <c r="G13" s="81">
        <v>28</v>
      </c>
      <c r="H13" s="81">
        <v>30</v>
      </c>
      <c r="I13" s="81">
        <v>31</v>
      </c>
      <c r="J13" s="81">
        <v>27</v>
      </c>
      <c r="K13" s="81">
        <v>39</v>
      </c>
      <c r="L13" s="81">
        <v>30</v>
      </c>
      <c r="M13" s="81">
        <v>27</v>
      </c>
      <c r="N13" s="89">
        <v>34</v>
      </c>
      <c r="O13" s="83"/>
      <c r="P13" s="83"/>
      <c r="Q13" s="83"/>
      <c r="R13" s="83"/>
      <c r="S13" s="83"/>
      <c r="T13" s="83" t="e">
        <f t="shared" si="0"/>
        <v>#DIV/0!</v>
      </c>
      <c r="U13" s="83"/>
      <c r="V13" s="83"/>
      <c r="W13" s="83"/>
      <c r="X13" s="83" t="e">
        <f t="shared" si="1"/>
        <v>#DIV/0!</v>
      </c>
      <c r="AD13" s="171"/>
      <c r="AE13" s="124" t="s">
        <v>142</v>
      </c>
      <c r="AF13" s="124">
        <v>8</v>
      </c>
      <c r="AG13" s="43" t="s">
        <v>19</v>
      </c>
      <c r="AH13" s="155">
        <v>60</v>
      </c>
      <c r="AI13" s="147">
        <v>74</v>
      </c>
      <c r="AJ13" s="155">
        <v>69</v>
      </c>
      <c r="AK13" s="147">
        <v>75</v>
      </c>
      <c r="AL13" s="147">
        <v>75</v>
      </c>
      <c r="AM13" s="155">
        <v>75</v>
      </c>
      <c r="AN13" s="155">
        <v>75</v>
      </c>
      <c r="AO13" s="155">
        <v>75</v>
      </c>
      <c r="AP13" s="155">
        <v>75</v>
      </c>
      <c r="AQ13" s="156">
        <v>59</v>
      </c>
      <c r="AR13">
        <v>2</v>
      </c>
      <c r="AS13">
        <v>3</v>
      </c>
      <c r="AW13">
        <f t="shared" si="2"/>
        <v>2.5</v>
      </c>
      <c r="AY13">
        <v>2</v>
      </c>
      <c r="BA13">
        <f t="shared" si="3"/>
        <v>2.5</v>
      </c>
    </row>
    <row r="14" spans="1:53" ht="15" customHeight="1" x14ac:dyDescent="0.25">
      <c r="A14" s="177"/>
      <c r="B14" s="92" t="s">
        <v>78</v>
      </c>
      <c r="C14" s="84">
        <v>12</v>
      </c>
      <c r="D14" s="45" t="s">
        <v>12</v>
      </c>
      <c r="E14" s="81">
        <v>20</v>
      </c>
      <c r="F14" s="81">
        <v>26</v>
      </c>
      <c r="G14" s="81">
        <v>36</v>
      </c>
      <c r="H14" s="81">
        <v>23</v>
      </c>
      <c r="I14" s="81">
        <v>30</v>
      </c>
      <c r="J14" s="81">
        <v>20</v>
      </c>
      <c r="K14" s="81">
        <v>20</v>
      </c>
      <c r="L14" s="81">
        <v>26</v>
      </c>
      <c r="M14" s="81">
        <v>6</v>
      </c>
      <c r="N14" s="89">
        <v>11</v>
      </c>
      <c r="O14" s="83"/>
      <c r="P14" s="83"/>
      <c r="Q14" s="83"/>
      <c r="R14" s="83"/>
      <c r="S14" s="83"/>
      <c r="T14" s="83" t="e">
        <f t="shared" si="0"/>
        <v>#DIV/0!</v>
      </c>
      <c r="U14" s="83"/>
      <c r="V14" s="83"/>
      <c r="W14" s="83"/>
      <c r="X14" s="83" t="e">
        <f t="shared" si="1"/>
        <v>#DIV/0!</v>
      </c>
      <c r="AD14" s="171"/>
      <c r="AE14" s="124" t="s">
        <v>144</v>
      </c>
      <c r="AF14" s="124">
        <v>9</v>
      </c>
      <c r="AG14" s="43" t="s">
        <v>19</v>
      </c>
      <c r="AH14" s="155">
        <v>30</v>
      </c>
      <c r="AI14" s="155">
        <v>7</v>
      </c>
      <c r="AJ14" s="147">
        <v>35</v>
      </c>
      <c r="AK14" s="147">
        <v>27</v>
      </c>
      <c r="AL14" s="147">
        <v>18</v>
      </c>
      <c r="AM14" s="155">
        <v>22</v>
      </c>
      <c r="AN14" s="147">
        <v>14</v>
      </c>
      <c r="AO14" s="147">
        <v>8</v>
      </c>
      <c r="AP14" s="147">
        <v>10</v>
      </c>
      <c r="AQ14" s="156">
        <v>5</v>
      </c>
      <c r="AR14">
        <v>5</v>
      </c>
      <c r="AS14">
        <v>4</v>
      </c>
      <c r="AW14">
        <f t="shared" si="2"/>
        <v>4.5</v>
      </c>
      <c r="AY14">
        <v>2</v>
      </c>
      <c r="BA14">
        <f t="shared" si="3"/>
        <v>4.5</v>
      </c>
    </row>
    <row r="15" spans="1:53" ht="15" customHeight="1" x14ac:dyDescent="0.25">
      <c r="A15" s="177"/>
      <c r="B15" s="92" t="s">
        <v>79</v>
      </c>
      <c r="C15" s="84">
        <v>13</v>
      </c>
      <c r="D15" s="45" t="s">
        <v>12</v>
      </c>
      <c r="E15" s="81">
        <v>28</v>
      </c>
      <c r="F15" s="81">
        <v>30</v>
      </c>
      <c r="G15" s="81">
        <v>37</v>
      </c>
      <c r="H15" s="81">
        <v>34</v>
      </c>
      <c r="I15" s="81">
        <v>59</v>
      </c>
      <c r="J15" s="81">
        <v>57</v>
      </c>
      <c r="K15" s="81">
        <v>75</v>
      </c>
      <c r="L15" s="81">
        <v>42</v>
      </c>
      <c r="M15" s="81">
        <v>44</v>
      </c>
      <c r="N15" s="89">
        <v>54</v>
      </c>
      <c r="O15" s="83"/>
      <c r="P15" s="83"/>
      <c r="Q15" s="83"/>
      <c r="R15" s="83"/>
      <c r="S15" s="83"/>
      <c r="T15" s="83" t="e">
        <f t="shared" si="0"/>
        <v>#DIV/0!</v>
      </c>
      <c r="U15" s="83"/>
      <c r="V15" s="83"/>
      <c r="W15" s="83"/>
      <c r="X15" s="83" t="e">
        <f t="shared" si="1"/>
        <v>#DIV/0!</v>
      </c>
      <c r="AD15" s="172"/>
      <c r="AE15" s="133" t="s">
        <v>151</v>
      </c>
      <c r="AF15" s="133">
        <v>14</v>
      </c>
      <c r="AG15" s="134" t="s">
        <v>19</v>
      </c>
      <c r="AH15" s="144">
        <v>26</v>
      </c>
      <c r="AI15" s="145">
        <v>25</v>
      </c>
      <c r="AJ15" s="145">
        <v>24</v>
      </c>
      <c r="AK15" s="144">
        <v>27</v>
      </c>
      <c r="AL15" s="144">
        <v>33</v>
      </c>
      <c r="AM15" s="144">
        <v>50</v>
      </c>
      <c r="AN15" s="145">
        <v>31</v>
      </c>
      <c r="AO15" s="144">
        <v>26</v>
      </c>
      <c r="AP15" s="144">
        <v>29</v>
      </c>
      <c r="AQ15" s="158">
        <v>9</v>
      </c>
      <c r="AR15">
        <v>3</v>
      </c>
      <c r="AS15">
        <v>4</v>
      </c>
      <c r="AT15">
        <v>3</v>
      </c>
      <c r="AW15">
        <f t="shared" si="2"/>
        <v>3.3333333333333335</v>
      </c>
      <c r="AY15">
        <v>3</v>
      </c>
      <c r="BA15">
        <f t="shared" si="3"/>
        <v>3.5</v>
      </c>
    </row>
    <row r="16" spans="1:53" ht="15" customHeight="1" x14ac:dyDescent="0.25">
      <c r="A16" s="177"/>
      <c r="B16" s="92" t="s">
        <v>80</v>
      </c>
      <c r="C16" s="84">
        <v>14</v>
      </c>
      <c r="D16" s="45" t="s">
        <v>12</v>
      </c>
      <c r="E16" s="81">
        <v>25</v>
      </c>
      <c r="F16" s="81">
        <v>37</v>
      </c>
      <c r="G16" s="81">
        <v>54</v>
      </c>
      <c r="H16" s="81">
        <v>38</v>
      </c>
      <c r="I16" s="81">
        <v>25</v>
      </c>
      <c r="J16" s="81">
        <v>25</v>
      </c>
      <c r="K16" s="81">
        <v>21</v>
      </c>
      <c r="L16" s="81">
        <v>34</v>
      </c>
      <c r="M16" s="81">
        <v>15</v>
      </c>
      <c r="N16" s="89">
        <v>21</v>
      </c>
      <c r="T16" s="83" t="e">
        <f t="shared" si="0"/>
        <v>#DIV/0!</v>
      </c>
      <c r="X16" s="83" t="e">
        <f t="shared" si="1"/>
        <v>#DIV/0!</v>
      </c>
      <c r="AD16" s="170" t="s">
        <v>371</v>
      </c>
      <c r="AE16" s="135" t="s">
        <v>173</v>
      </c>
      <c r="AF16" s="135">
        <v>6</v>
      </c>
      <c r="AG16" s="136" t="s">
        <v>19</v>
      </c>
      <c r="AH16" s="166">
        <v>17</v>
      </c>
      <c r="AI16" s="161">
        <v>50</v>
      </c>
      <c r="AJ16" s="161">
        <v>37</v>
      </c>
      <c r="AK16" s="166">
        <v>26</v>
      </c>
      <c r="AL16" s="161">
        <v>12</v>
      </c>
      <c r="AM16" s="161">
        <v>4</v>
      </c>
      <c r="AN16" s="161">
        <v>10</v>
      </c>
      <c r="AO16" s="161">
        <v>6</v>
      </c>
      <c r="AP16" s="149">
        <v>24</v>
      </c>
      <c r="AQ16" s="162">
        <v>36</v>
      </c>
      <c r="AR16">
        <v>3</v>
      </c>
      <c r="AS16">
        <v>7</v>
      </c>
      <c r="AW16">
        <f t="shared" si="2"/>
        <v>5</v>
      </c>
      <c r="AY16">
        <v>2</v>
      </c>
      <c r="BA16">
        <f t="shared" si="3"/>
        <v>5</v>
      </c>
    </row>
    <row r="17" spans="1:53" ht="15" customHeight="1" x14ac:dyDescent="0.25">
      <c r="A17" s="177"/>
      <c r="B17" s="92" t="s">
        <v>81</v>
      </c>
      <c r="C17" s="84">
        <v>15</v>
      </c>
      <c r="D17" s="45" t="s">
        <v>12</v>
      </c>
      <c r="E17" s="81">
        <v>34</v>
      </c>
      <c r="F17" s="81">
        <v>49</v>
      </c>
      <c r="G17" s="81">
        <v>70</v>
      </c>
      <c r="H17" s="81">
        <v>75</v>
      </c>
      <c r="I17" s="81">
        <v>75</v>
      </c>
      <c r="J17" s="81">
        <v>74</v>
      </c>
      <c r="K17" s="81">
        <v>75</v>
      </c>
      <c r="L17" s="81">
        <v>70</v>
      </c>
      <c r="M17" s="81">
        <v>51</v>
      </c>
      <c r="N17" s="89">
        <v>75</v>
      </c>
      <c r="T17" s="83" t="e">
        <f t="shared" si="0"/>
        <v>#DIV/0!</v>
      </c>
      <c r="X17" s="83" t="e">
        <f t="shared" si="1"/>
        <v>#DIV/0!</v>
      </c>
      <c r="AD17" s="171"/>
      <c r="AE17" s="124" t="s">
        <v>182</v>
      </c>
      <c r="AF17" s="124">
        <v>9</v>
      </c>
      <c r="AG17" s="43" t="s">
        <v>19</v>
      </c>
      <c r="AH17" s="155">
        <v>6</v>
      </c>
      <c r="AI17" s="147">
        <v>8</v>
      </c>
      <c r="AJ17" s="147">
        <v>3</v>
      </c>
      <c r="AK17" s="155">
        <v>10</v>
      </c>
      <c r="AL17" s="155">
        <v>10</v>
      </c>
      <c r="AM17" s="147">
        <v>10</v>
      </c>
      <c r="AN17" s="147">
        <v>13</v>
      </c>
      <c r="AO17" s="155">
        <v>13</v>
      </c>
      <c r="AP17" s="149">
        <v>31</v>
      </c>
      <c r="AQ17" s="151">
        <v>23</v>
      </c>
      <c r="AR17">
        <v>3</v>
      </c>
      <c r="AS17">
        <v>4</v>
      </c>
      <c r="AT17">
        <v>2</v>
      </c>
      <c r="AW17">
        <f t="shared" si="2"/>
        <v>3</v>
      </c>
      <c r="AY17">
        <v>3</v>
      </c>
      <c r="BA17">
        <f t="shared" si="3"/>
        <v>3.5</v>
      </c>
    </row>
    <row r="18" spans="1:53" ht="15" customHeight="1" x14ac:dyDescent="0.25">
      <c r="A18" s="178"/>
      <c r="B18" t="s">
        <v>82</v>
      </c>
      <c r="C18" s="125">
        <v>16</v>
      </c>
      <c r="D18" s="126" t="s">
        <v>12</v>
      </c>
      <c r="E18" s="127">
        <v>43</v>
      </c>
      <c r="F18" s="127">
        <v>27</v>
      </c>
      <c r="G18" s="127">
        <v>33</v>
      </c>
      <c r="H18" s="127">
        <v>50</v>
      </c>
      <c r="I18" s="127">
        <v>35</v>
      </c>
      <c r="J18" s="127">
        <v>20</v>
      </c>
      <c r="K18" s="127">
        <v>2</v>
      </c>
      <c r="L18" s="127">
        <v>7</v>
      </c>
      <c r="M18" s="127">
        <v>6</v>
      </c>
      <c r="N18" s="128">
        <v>5</v>
      </c>
      <c r="T18" s="83" t="e">
        <f t="shared" si="0"/>
        <v>#DIV/0!</v>
      </c>
      <c r="X18" s="83" t="e">
        <f t="shared" si="1"/>
        <v>#DIV/0!</v>
      </c>
      <c r="AD18" s="172"/>
      <c r="AE18" s="133" t="s">
        <v>185</v>
      </c>
      <c r="AF18" s="133">
        <v>10</v>
      </c>
      <c r="AG18" s="134" t="s">
        <v>19</v>
      </c>
      <c r="AH18" s="144">
        <v>34</v>
      </c>
      <c r="AI18" s="144">
        <v>33</v>
      </c>
      <c r="AJ18" s="145">
        <v>17</v>
      </c>
      <c r="AK18" s="145">
        <v>44</v>
      </c>
      <c r="AL18" s="145">
        <v>32</v>
      </c>
      <c r="AM18" s="144">
        <v>20</v>
      </c>
      <c r="AN18" s="144">
        <v>8</v>
      </c>
      <c r="AO18" s="145">
        <v>9</v>
      </c>
      <c r="AP18" s="163">
        <v>46</v>
      </c>
      <c r="AQ18" s="165">
        <v>9</v>
      </c>
      <c r="AR18">
        <v>5</v>
      </c>
      <c r="AS18">
        <v>4</v>
      </c>
      <c r="AW18">
        <f t="shared" si="2"/>
        <v>4.5</v>
      </c>
      <c r="AY18">
        <v>2</v>
      </c>
      <c r="BA18">
        <f t="shared" si="3"/>
        <v>4.5</v>
      </c>
    </row>
    <row r="19" spans="1:53" ht="15" customHeight="1" x14ac:dyDescent="0.25">
      <c r="A19" s="179" t="s">
        <v>344</v>
      </c>
      <c r="B19" s="131" t="s">
        <v>372</v>
      </c>
      <c r="C19" s="131">
        <v>1</v>
      </c>
      <c r="D19" s="132" t="s">
        <v>12</v>
      </c>
      <c r="E19" s="152">
        <v>21</v>
      </c>
      <c r="F19" s="154">
        <v>21</v>
      </c>
      <c r="G19" s="154">
        <v>18</v>
      </c>
      <c r="H19" s="152">
        <v>18</v>
      </c>
      <c r="I19" s="152">
        <v>23</v>
      </c>
      <c r="J19" s="154">
        <v>22</v>
      </c>
      <c r="K19" s="154">
        <v>18</v>
      </c>
      <c r="L19" s="154">
        <v>20</v>
      </c>
      <c r="M19" s="152">
        <v>31</v>
      </c>
      <c r="N19" s="153">
        <v>17</v>
      </c>
      <c r="O19">
        <v>3</v>
      </c>
      <c r="P19">
        <v>5</v>
      </c>
      <c r="T19" s="83">
        <f>AVERAGE(O19:R19)</f>
        <v>4</v>
      </c>
      <c r="V19">
        <v>2</v>
      </c>
      <c r="X19" s="83">
        <f t="shared" si="1"/>
        <v>4</v>
      </c>
    </row>
    <row r="20" spans="1:53" ht="15" customHeight="1" x14ac:dyDescent="0.25">
      <c r="A20" s="180"/>
      <c r="B20" s="124" t="s">
        <v>124</v>
      </c>
      <c r="C20" s="124">
        <v>2</v>
      </c>
      <c r="D20" s="43" t="s">
        <v>12</v>
      </c>
      <c r="E20" s="147">
        <v>27</v>
      </c>
      <c r="F20" s="155">
        <v>44</v>
      </c>
      <c r="G20" s="155">
        <v>47</v>
      </c>
      <c r="H20" s="147">
        <v>49</v>
      </c>
      <c r="I20" s="147">
        <v>41</v>
      </c>
      <c r="J20" s="155">
        <v>44</v>
      </c>
      <c r="K20" s="155">
        <v>25</v>
      </c>
      <c r="L20" s="147">
        <v>51</v>
      </c>
      <c r="M20" s="155">
        <v>31</v>
      </c>
      <c r="N20" s="157">
        <v>42</v>
      </c>
      <c r="O20">
        <v>3</v>
      </c>
      <c r="P20">
        <v>4</v>
      </c>
      <c r="Q20">
        <v>2</v>
      </c>
      <c r="T20" s="83">
        <f t="shared" si="0"/>
        <v>3</v>
      </c>
      <c r="V20">
        <v>3</v>
      </c>
      <c r="X20" s="83">
        <f t="shared" si="1"/>
        <v>3.5</v>
      </c>
    </row>
    <row r="21" spans="1:53" ht="15" customHeight="1" x14ac:dyDescent="0.25">
      <c r="A21" s="180"/>
      <c r="B21" s="124" t="s">
        <v>128</v>
      </c>
      <c r="C21" s="124">
        <v>3</v>
      </c>
      <c r="D21" s="43" t="s">
        <v>12</v>
      </c>
      <c r="E21" s="147">
        <v>36</v>
      </c>
      <c r="F21" s="147">
        <v>59</v>
      </c>
      <c r="G21" s="155">
        <v>75</v>
      </c>
      <c r="H21" s="155">
        <v>75</v>
      </c>
      <c r="I21" s="155">
        <v>73</v>
      </c>
      <c r="J21" s="147">
        <v>53</v>
      </c>
      <c r="K21" s="147">
        <v>36</v>
      </c>
      <c r="L21" s="155">
        <v>52</v>
      </c>
      <c r="M21" s="155">
        <v>49</v>
      </c>
      <c r="N21" s="156">
        <v>42</v>
      </c>
      <c r="O21">
        <v>5</v>
      </c>
      <c r="P21">
        <v>5</v>
      </c>
      <c r="T21" s="83">
        <f t="shared" si="0"/>
        <v>5</v>
      </c>
      <c r="V21">
        <v>2</v>
      </c>
      <c r="X21" s="83">
        <f t="shared" si="1"/>
        <v>5</v>
      </c>
    </row>
    <row r="22" spans="1:53" ht="15" customHeight="1" x14ac:dyDescent="0.25">
      <c r="A22" s="180"/>
      <c r="B22" s="124" t="s">
        <v>131</v>
      </c>
      <c r="C22" s="124">
        <v>4</v>
      </c>
      <c r="D22" s="43" t="s">
        <v>12</v>
      </c>
      <c r="E22" s="155">
        <v>23</v>
      </c>
      <c r="F22" s="147">
        <v>18</v>
      </c>
      <c r="G22" s="147">
        <v>18</v>
      </c>
      <c r="H22" s="155">
        <v>3</v>
      </c>
      <c r="I22" s="147">
        <v>13</v>
      </c>
      <c r="J22" s="155">
        <v>9</v>
      </c>
      <c r="K22" s="155">
        <v>8</v>
      </c>
      <c r="L22" s="147">
        <v>13</v>
      </c>
      <c r="M22" s="155">
        <v>18</v>
      </c>
      <c r="N22" s="156">
        <v>18</v>
      </c>
      <c r="O22">
        <v>3</v>
      </c>
      <c r="P22">
        <v>2</v>
      </c>
      <c r="Q22">
        <v>3</v>
      </c>
      <c r="T22" s="83">
        <f t="shared" si="0"/>
        <v>2.6666666666666665</v>
      </c>
      <c r="V22">
        <v>3</v>
      </c>
      <c r="X22" s="83">
        <f t="shared" si="1"/>
        <v>2.5</v>
      </c>
    </row>
    <row r="23" spans="1:53" ht="15" customHeight="1" x14ac:dyDescent="0.25">
      <c r="A23" s="180"/>
      <c r="B23" s="124" t="s">
        <v>139</v>
      </c>
      <c r="C23" s="124">
        <v>7</v>
      </c>
      <c r="D23" s="43" t="s">
        <v>12</v>
      </c>
      <c r="E23" s="155">
        <v>1</v>
      </c>
      <c r="F23" s="147">
        <v>18</v>
      </c>
      <c r="G23" s="155">
        <v>6</v>
      </c>
      <c r="H23" s="155">
        <v>14</v>
      </c>
      <c r="I23" s="155">
        <v>13</v>
      </c>
      <c r="J23" s="147">
        <v>12</v>
      </c>
      <c r="K23" s="147">
        <v>14</v>
      </c>
      <c r="L23" s="147">
        <v>16</v>
      </c>
      <c r="M23" s="155">
        <v>6</v>
      </c>
      <c r="N23" s="156">
        <v>4</v>
      </c>
      <c r="O23">
        <v>2</v>
      </c>
      <c r="P23">
        <v>6</v>
      </c>
      <c r="T23" s="83">
        <f t="shared" si="0"/>
        <v>4</v>
      </c>
      <c r="V23">
        <v>2</v>
      </c>
      <c r="X23" s="83">
        <f t="shared" si="1"/>
        <v>4</v>
      </c>
    </row>
    <row r="24" spans="1:53" ht="15" customHeight="1" x14ac:dyDescent="0.25">
      <c r="A24" s="180"/>
      <c r="B24" s="124" t="s">
        <v>147</v>
      </c>
      <c r="C24" s="124">
        <v>10</v>
      </c>
      <c r="D24" s="43" t="s">
        <v>12</v>
      </c>
      <c r="E24" s="155">
        <v>39</v>
      </c>
      <c r="F24" s="148">
        <v>44</v>
      </c>
      <c r="G24" s="148">
        <v>68</v>
      </c>
      <c r="H24" s="150">
        <v>75</v>
      </c>
      <c r="I24" s="150">
        <v>75</v>
      </c>
      <c r="J24" s="150">
        <v>71</v>
      </c>
      <c r="K24" s="149">
        <v>49</v>
      </c>
      <c r="L24" s="150">
        <v>47</v>
      </c>
      <c r="M24" s="150">
        <v>39</v>
      </c>
      <c r="N24" s="151">
        <v>44</v>
      </c>
      <c r="O24">
        <v>3</v>
      </c>
      <c r="P24">
        <v>4</v>
      </c>
      <c r="T24" s="83">
        <f t="shared" si="0"/>
        <v>3.5</v>
      </c>
      <c r="V24">
        <v>2</v>
      </c>
      <c r="X24" s="83">
        <f t="shared" si="1"/>
        <v>3.5</v>
      </c>
    </row>
    <row r="25" spans="1:53" ht="15" customHeight="1" x14ac:dyDescent="0.25">
      <c r="A25" s="180"/>
      <c r="B25" s="124" t="s">
        <v>373</v>
      </c>
      <c r="C25" s="124">
        <v>11</v>
      </c>
      <c r="D25" s="43" t="s">
        <v>12</v>
      </c>
      <c r="E25" s="155">
        <v>23</v>
      </c>
      <c r="F25" s="146">
        <v>30</v>
      </c>
      <c r="G25" s="148">
        <v>29</v>
      </c>
      <c r="H25" s="150">
        <v>38</v>
      </c>
      <c r="I25" s="150">
        <v>36</v>
      </c>
      <c r="J25" s="150">
        <v>33</v>
      </c>
      <c r="K25" s="150">
        <v>26</v>
      </c>
      <c r="L25" s="150">
        <v>55</v>
      </c>
      <c r="M25" s="142">
        <v>2</v>
      </c>
      <c r="N25" s="143"/>
      <c r="O25">
        <v>3</v>
      </c>
      <c r="T25" s="83">
        <f t="shared" si="0"/>
        <v>3</v>
      </c>
      <c r="V25">
        <v>1</v>
      </c>
      <c r="X25" s="83">
        <f t="shared" si="1"/>
        <v>3</v>
      </c>
    </row>
    <row r="26" spans="1:53" ht="15" customHeight="1" x14ac:dyDescent="0.25">
      <c r="A26" s="180"/>
      <c r="B26" s="124" t="s">
        <v>149</v>
      </c>
      <c r="C26" s="124">
        <v>12</v>
      </c>
      <c r="D26" s="43" t="s">
        <v>12</v>
      </c>
      <c r="E26" s="155">
        <v>13</v>
      </c>
      <c r="F26" s="146">
        <v>34</v>
      </c>
      <c r="G26" s="146">
        <v>31</v>
      </c>
      <c r="H26" s="149">
        <v>24</v>
      </c>
      <c r="I26" s="149">
        <v>27</v>
      </c>
      <c r="J26" s="149">
        <v>29</v>
      </c>
      <c r="K26" s="149">
        <v>33</v>
      </c>
      <c r="L26" s="150">
        <v>21</v>
      </c>
      <c r="M26" s="150">
        <v>16</v>
      </c>
      <c r="N26" s="151">
        <v>14</v>
      </c>
      <c r="O26">
        <v>7</v>
      </c>
      <c r="T26" s="83">
        <f t="shared" si="0"/>
        <v>7</v>
      </c>
      <c r="V26">
        <v>1</v>
      </c>
      <c r="X26" s="83">
        <f t="shared" si="1"/>
        <v>7</v>
      </c>
    </row>
    <row r="27" spans="1:53" ht="15" customHeight="1" x14ac:dyDescent="0.25">
      <c r="A27" s="180"/>
      <c r="B27" s="124" t="s">
        <v>150</v>
      </c>
      <c r="C27" s="124">
        <v>13</v>
      </c>
      <c r="D27" s="43" t="s">
        <v>12</v>
      </c>
      <c r="E27" s="147">
        <v>31</v>
      </c>
      <c r="F27" s="148">
        <v>48</v>
      </c>
      <c r="G27" s="146">
        <v>67</v>
      </c>
      <c r="H27" s="150">
        <v>75</v>
      </c>
      <c r="I27" s="149">
        <v>75</v>
      </c>
      <c r="J27" s="149">
        <v>75</v>
      </c>
      <c r="K27" s="149">
        <v>75</v>
      </c>
      <c r="L27" s="150">
        <v>72</v>
      </c>
      <c r="M27" s="150">
        <v>73</v>
      </c>
      <c r="N27" s="151">
        <v>56</v>
      </c>
      <c r="O27">
        <v>4</v>
      </c>
      <c r="P27">
        <v>6</v>
      </c>
      <c r="T27" s="83">
        <f t="shared" si="0"/>
        <v>5</v>
      </c>
      <c r="V27">
        <v>2</v>
      </c>
      <c r="X27" s="83">
        <f t="shared" si="1"/>
        <v>5</v>
      </c>
    </row>
    <row r="28" spans="1:53" ht="15" customHeight="1" x14ac:dyDescent="0.25">
      <c r="A28" s="180"/>
      <c r="B28" s="124" t="s">
        <v>152</v>
      </c>
      <c r="C28" s="124">
        <v>15</v>
      </c>
      <c r="D28" s="43" t="s">
        <v>12</v>
      </c>
      <c r="E28" s="155">
        <v>75</v>
      </c>
      <c r="F28" s="155">
        <v>41</v>
      </c>
      <c r="G28" s="147">
        <v>45</v>
      </c>
      <c r="H28" s="147">
        <v>42</v>
      </c>
      <c r="I28" s="155">
        <v>46</v>
      </c>
      <c r="J28" s="155">
        <v>32</v>
      </c>
      <c r="K28" s="147">
        <v>27</v>
      </c>
      <c r="L28" s="155">
        <v>25</v>
      </c>
      <c r="M28" s="155">
        <v>52</v>
      </c>
      <c r="N28" s="156">
        <v>41</v>
      </c>
      <c r="O28">
        <v>4</v>
      </c>
      <c r="P28">
        <v>3</v>
      </c>
      <c r="T28" s="83">
        <f t="shared" si="0"/>
        <v>3.5</v>
      </c>
      <c r="V28">
        <v>2</v>
      </c>
      <c r="X28" s="83">
        <f t="shared" si="1"/>
        <v>3.5</v>
      </c>
    </row>
    <row r="29" spans="1:53" ht="15" customHeight="1" x14ac:dyDescent="0.25">
      <c r="A29" s="181"/>
      <c r="B29" s="133" t="s">
        <v>153</v>
      </c>
      <c r="C29" s="133">
        <v>16</v>
      </c>
      <c r="D29" s="134" t="s">
        <v>12</v>
      </c>
      <c r="E29" s="144">
        <v>24</v>
      </c>
      <c r="F29" s="145">
        <v>46</v>
      </c>
      <c r="G29" s="145">
        <v>26</v>
      </c>
      <c r="H29" s="145">
        <v>74</v>
      </c>
      <c r="I29" s="144">
        <v>27</v>
      </c>
      <c r="J29" s="144">
        <v>35</v>
      </c>
      <c r="K29" s="144">
        <v>29</v>
      </c>
      <c r="L29" s="145">
        <v>37</v>
      </c>
      <c r="M29" s="145">
        <v>44</v>
      </c>
      <c r="N29" s="158">
        <v>27</v>
      </c>
      <c r="O29">
        <v>4</v>
      </c>
      <c r="P29">
        <v>6</v>
      </c>
      <c r="T29" s="83">
        <f t="shared" si="0"/>
        <v>5</v>
      </c>
      <c r="V29">
        <v>2</v>
      </c>
      <c r="X29" s="83">
        <f t="shared" si="1"/>
        <v>5</v>
      </c>
    </row>
    <row r="30" spans="1:53" ht="15" customHeight="1" x14ac:dyDescent="0.25">
      <c r="A30" s="170" t="s">
        <v>371</v>
      </c>
      <c r="B30" s="135" t="s">
        <v>164</v>
      </c>
      <c r="C30" s="135">
        <v>3</v>
      </c>
      <c r="D30" s="136" t="s">
        <v>12</v>
      </c>
      <c r="E30" s="160">
        <v>24</v>
      </c>
      <c r="F30" s="146">
        <v>36</v>
      </c>
      <c r="G30" s="146">
        <v>26</v>
      </c>
      <c r="H30" s="149">
        <v>40</v>
      </c>
      <c r="I30" s="149">
        <v>25</v>
      </c>
      <c r="J30" s="149">
        <v>27</v>
      </c>
      <c r="K30" s="150">
        <v>22</v>
      </c>
      <c r="L30" s="149">
        <v>16</v>
      </c>
      <c r="M30" s="149">
        <v>16</v>
      </c>
      <c r="N30" s="151">
        <v>13</v>
      </c>
      <c r="O30">
        <v>3</v>
      </c>
      <c r="P30">
        <v>4</v>
      </c>
      <c r="Q30">
        <v>3</v>
      </c>
      <c r="T30" s="83">
        <f t="shared" si="0"/>
        <v>3.3333333333333335</v>
      </c>
      <c r="V30">
        <v>3</v>
      </c>
      <c r="X30" s="83">
        <f t="shared" si="1"/>
        <v>3.5</v>
      </c>
    </row>
    <row r="31" spans="1:53" ht="15" customHeight="1" x14ac:dyDescent="0.25">
      <c r="A31" s="171"/>
      <c r="B31" s="124" t="s">
        <v>167</v>
      </c>
      <c r="C31" s="124">
        <v>4</v>
      </c>
      <c r="D31" s="43" t="s">
        <v>12</v>
      </c>
      <c r="E31" s="164">
        <v>15</v>
      </c>
      <c r="F31" s="146">
        <v>38</v>
      </c>
      <c r="G31" s="148">
        <v>49</v>
      </c>
      <c r="H31" s="149">
        <v>25</v>
      </c>
      <c r="I31" s="149">
        <v>20</v>
      </c>
      <c r="J31" s="150">
        <v>23</v>
      </c>
      <c r="K31" s="149">
        <v>22</v>
      </c>
      <c r="L31" s="149">
        <v>18</v>
      </c>
      <c r="M31" s="150">
        <v>17</v>
      </c>
      <c r="N31" s="151">
        <v>17</v>
      </c>
      <c r="O31">
        <v>5</v>
      </c>
      <c r="P31">
        <v>3</v>
      </c>
      <c r="T31" s="83">
        <f t="shared" si="0"/>
        <v>4</v>
      </c>
      <c r="V31">
        <v>2</v>
      </c>
      <c r="X31" s="83">
        <f t="shared" si="1"/>
        <v>4</v>
      </c>
    </row>
    <row r="32" spans="1:53" ht="15" customHeight="1" x14ac:dyDescent="0.25">
      <c r="A32" s="171"/>
      <c r="B32" s="124" t="s">
        <v>170</v>
      </c>
      <c r="C32" s="124">
        <v>5</v>
      </c>
      <c r="D32" s="43" t="s">
        <v>12</v>
      </c>
      <c r="E32" s="160">
        <v>43</v>
      </c>
      <c r="F32" s="148">
        <v>30</v>
      </c>
      <c r="G32" s="148">
        <v>57</v>
      </c>
      <c r="H32" s="150">
        <v>65</v>
      </c>
      <c r="I32" s="149">
        <v>73</v>
      </c>
      <c r="J32" s="149">
        <v>69</v>
      </c>
      <c r="K32" s="149">
        <v>59</v>
      </c>
      <c r="L32" s="149">
        <v>69</v>
      </c>
      <c r="M32" s="149">
        <v>75</v>
      </c>
      <c r="N32" s="151">
        <v>75</v>
      </c>
      <c r="O32">
        <v>4</v>
      </c>
      <c r="P32">
        <v>6</v>
      </c>
      <c r="T32" s="83">
        <f t="shared" si="0"/>
        <v>5</v>
      </c>
      <c r="V32">
        <v>2</v>
      </c>
      <c r="X32" s="83">
        <f t="shared" si="1"/>
        <v>5</v>
      </c>
    </row>
    <row r="33" spans="1:24" ht="15" customHeight="1" x14ac:dyDescent="0.25">
      <c r="A33" s="171"/>
      <c r="B33" s="124" t="s">
        <v>176</v>
      </c>
      <c r="C33" s="124">
        <v>7</v>
      </c>
      <c r="D33" s="43" t="s">
        <v>12</v>
      </c>
      <c r="E33" s="147">
        <v>25</v>
      </c>
      <c r="F33" s="147">
        <v>52</v>
      </c>
      <c r="G33" s="147">
        <v>75</v>
      </c>
      <c r="H33" s="155">
        <v>75</v>
      </c>
      <c r="I33" s="155">
        <v>73</v>
      </c>
      <c r="J33" s="155">
        <v>66</v>
      </c>
      <c r="K33" s="147">
        <v>65</v>
      </c>
      <c r="L33" s="147">
        <v>73</v>
      </c>
      <c r="M33" s="147">
        <v>72</v>
      </c>
      <c r="N33" s="156">
        <v>63</v>
      </c>
      <c r="O33">
        <v>6</v>
      </c>
      <c r="P33">
        <v>4</v>
      </c>
      <c r="T33" s="83">
        <f t="shared" si="0"/>
        <v>5</v>
      </c>
      <c r="V33">
        <v>2</v>
      </c>
      <c r="X33" s="83">
        <f t="shared" si="1"/>
        <v>5</v>
      </c>
    </row>
    <row r="34" spans="1:24" ht="15" customHeight="1" x14ac:dyDescent="0.25">
      <c r="A34" s="171"/>
      <c r="B34" s="124" t="s">
        <v>374</v>
      </c>
      <c r="C34" s="124">
        <v>8</v>
      </c>
      <c r="D34" s="43" t="s">
        <v>12</v>
      </c>
      <c r="E34" s="155">
        <v>24</v>
      </c>
      <c r="F34" s="155">
        <v>39</v>
      </c>
      <c r="G34" s="147">
        <v>18</v>
      </c>
      <c r="H34" s="147">
        <v>24</v>
      </c>
      <c r="I34" s="147">
        <v>21</v>
      </c>
      <c r="J34" s="147">
        <v>16</v>
      </c>
      <c r="K34" s="147">
        <v>15</v>
      </c>
      <c r="L34" s="147">
        <v>15</v>
      </c>
      <c r="M34" s="155">
        <v>27</v>
      </c>
      <c r="N34" s="157">
        <v>33</v>
      </c>
      <c r="O34">
        <v>8</v>
      </c>
      <c r="P34">
        <v>2</v>
      </c>
      <c r="T34" s="83">
        <f t="shared" si="0"/>
        <v>5</v>
      </c>
      <c r="V34">
        <v>2</v>
      </c>
      <c r="X34" s="83">
        <f t="shared" si="1"/>
        <v>5</v>
      </c>
    </row>
    <row r="35" spans="1:24" ht="15" customHeight="1" x14ac:dyDescent="0.25">
      <c r="A35" s="171"/>
      <c r="B35" s="124" t="s">
        <v>186</v>
      </c>
      <c r="C35" s="124">
        <v>11</v>
      </c>
      <c r="D35" s="43" t="s">
        <v>12</v>
      </c>
      <c r="E35" s="147">
        <v>25</v>
      </c>
      <c r="F35" s="147">
        <v>23</v>
      </c>
      <c r="G35" s="155">
        <v>27</v>
      </c>
      <c r="H35" s="155">
        <v>31</v>
      </c>
      <c r="I35" s="147">
        <v>32</v>
      </c>
      <c r="J35" s="147">
        <v>24</v>
      </c>
      <c r="K35" s="147">
        <v>49</v>
      </c>
      <c r="L35" s="155">
        <v>41</v>
      </c>
      <c r="M35" s="150">
        <v>57</v>
      </c>
      <c r="N35" s="162">
        <v>54</v>
      </c>
      <c r="O35">
        <v>4</v>
      </c>
      <c r="P35">
        <v>5</v>
      </c>
      <c r="T35" s="83">
        <f t="shared" si="0"/>
        <v>4.5</v>
      </c>
      <c r="V35">
        <v>2</v>
      </c>
      <c r="X35" s="83">
        <f t="shared" si="1"/>
        <v>4.5</v>
      </c>
    </row>
    <row r="36" spans="1:24" ht="15" customHeight="1" x14ac:dyDescent="0.25">
      <c r="A36" s="171"/>
      <c r="B36" s="124" t="s">
        <v>187</v>
      </c>
      <c r="C36" s="124">
        <v>12</v>
      </c>
      <c r="D36" s="43" t="s">
        <v>12</v>
      </c>
      <c r="E36" s="155">
        <v>27</v>
      </c>
      <c r="F36" s="147">
        <v>30</v>
      </c>
      <c r="G36" s="147">
        <v>34</v>
      </c>
      <c r="H36" s="147">
        <v>17</v>
      </c>
      <c r="I36" s="155">
        <v>21</v>
      </c>
      <c r="J36" s="155">
        <v>27</v>
      </c>
      <c r="K36" s="155">
        <v>33</v>
      </c>
      <c r="L36" s="147">
        <v>22</v>
      </c>
      <c r="M36" s="149">
        <v>27</v>
      </c>
      <c r="N36" s="151">
        <v>17</v>
      </c>
      <c r="O36">
        <v>4</v>
      </c>
      <c r="P36">
        <v>5</v>
      </c>
      <c r="T36" s="83">
        <f t="shared" si="0"/>
        <v>4.5</v>
      </c>
      <c r="V36">
        <v>2</v>
      </c>
      <c r="X36" s="83">
        <f t="shared" si="1"/>
        <v>4.5</v>
      </c>
    </row>
    <row r="37" spans="1:24" ht="15" customHeight="1" x14ac:dyDescent="0.25">
      <c r="A37" s="171"/>
      <c r="B37" s="124" t="s">
        <v>188</v>
      </c>
      <c r="C37" s="124">
        <v>13</v>
      </c>
      <c r="D37" s="43" t="s">
        <v>12</v>
      </c>
      <c r="E37" s="155">
        <v>44</v>
      </c>
      <c r="F37" s="155">
        <v>33</v>
      </c>
      <c r="G37" s="147">
        <v>39</v>
      </c>
      <c r="H37" s="147">
        <v>52</v>
      </c>
      <c r="I37" s="147">
        <v>28</v>
      </c>
      <c r="J37" s="155">
        <v>20</v>
      </c>
      <c r="K37" s="147">
        <v>13</v>
      </c>
      <c r="L37" s="147">
        <v>15</v>
      </c>
      <c r="M37" s="150">
        <v>10</v>
      </c>
      <c r="N37" s="151">
        <v>9</v>
      </c>
      <c r="O37">
        <v>5</v>
      </c>
      <c r="P37">
        <v>3</v>
      </c>
      <c r="T37" s="83">
        <f t="shared" si="0"/>
        <v>4</v>
      </c>
      <c r="V37">
        <v>2</v>
      </c>
      <c r="X37" s="83">
        <f t="shared" si="1"/>
        <v>4</v>
      </c>
    </row>
    <row r="38" spans="1:24" ht="15" customHeight="1" x14ac:dyDescent="0.25">
      <c r="A38" s="172"/>
      <c r="B38" s="133" t="s">
        <v>189</v>
      </c>
      <c r="C38" s="133">
        <v>14</v>
      </c>
      <c r="D38" s="134" t="s">
        <v>12</v>
      </c>
      <c r="E38" s="145">
        <v>11</v>
      </c>
      <c r="F38" s="145">
        <v>18</v>
      </c>
      <c r="G38" s="144">
        <v>44</v>
      </c>
      <c r="H38" s="145">
        <v>50</v>
      </c>
      <c r="I38" s="145">
        <v>69</v>
      </c>
      <c r="J38" s="144">
        <v>59</v>
      </c>
      <c r="K38" s="145">
        <v>50</v>
      </c>
      <c r="L38" s="144">
        <v>38</v>
      </c>
      <c r="M38" s="163">
        <v>86</v>
      </c>
      <c r="N38" s="165">
        <v>51</v>
      </c>
      <c r="O38">
        <v>3</v>
      </c>
      <c r="P38">
        <v>3</v>
      </c>
      <c r="Q38">
        <v>2</v>
      </c>
      <c r="R38">
        <v>2</v>
      </c>
      <c r="T38" s="83">
        <f t="shared" si="0"/>
        <v>2.5</v>
      </c>
      <c r="V38">
        <v>4</v>
      </c>
      <c r="X38" s="83">
        <f t="shared" si="1"/>
        <v>3</v>
      </c>
    </row>
    <row r="39" spans="1:24" ht="15" customHeight="1" x14ac:dyDescent="0.25">
      <c r="A39" s="123"/>
    </row>
    <row r="40" spans="1:24" ht="15" customHeight="1" x14ac:dyDescent="0.25">
      <c r="A40" s="123"/>
    </row>
    <row r="41" spans="1:24" ht="15" customHeight="1" x14ac:dyDescent="0.25">
      <c r="A41" s="123"/>
    </row>
    <row r="42" spans="1:24" ht="15" customHeight="1" x14ac:dyDescent="0.25"/>
    <row r="43" spans="1:24" ht="15" customHeight="1" x14ac:dyDescent="0.25"/>
    <row r="44" spans="1:24" ht="15" customHeight="1" x14ac:dyDescent="0.25"/>
    <row r="45" spans="1:24" ht="15" customHeight="1" x14ac:dyDescent="0.25"/>
    <row r="46" spans="1:24" ht="15" customHeight="1" x14ac:dyDescent="0.25"/>
    <row r="47" spans="1:24" ht="15" customHeight="1" x14ac:dyDescent="0.25"/>
    <row r="48" spans="1:24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</sheetData>
  <mergeCells count="7">
    <mergeCell ref="A30:A38"/>
    <mergeCell ref="AD16:AD18"/>
    <mergeCell ref="C2:D2"/>
    <mergeCell ref="AD7:AD10"/>
    <mergeCell ref="A7:A18"/>
    <mergeCell ref="A19:A29"/>
    <mergeCell ref="AD11:A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Animals &amp; Surgery Log</vt:lpstr>
      <vt:lpstr>D1 TRAP COH 1 (MALES)</vt:lpstr>
      <vt:lpstr>HLM D1 TRAP COH 1</vt:lpstr>
      <vt:lpstr>D1 TRAP COH 2 (FEMALES)</vt:lpstr>
      <vt:lpstr>HLM D1 TRAP COH 2</vt:lpstr>
      <vt:lpstr>D1 TRAP COH 3 (MALES)</vt:lpstr>
      <vt:lpstr>HLM D1 TRAP COH 3</vt:lpstr>
      <vt:lpstr>D1 TRAP COH 4 (FEMALES)</vt:lpstr>
      <vt:lpstr>HLM D1 TRAP COH 4</vt:lpstr>
      <vt:lpstr>MIXED D1 D2 TRAP COH 1</vt:lpstr>
      <vt:lpstr>HLM MIXED D1 D2 TRAP COH 1</vt:lpstr>
      <vt:lpstr>Data Sheet</vt:lpstr>
      <vt:lpstr>Cue reactivity</vt:lpstr>
      <vt:lpstr>IVSA Estrous Cycle Data</vt:lpstr>
    </vt:vector>
  </TitlesOfParts>
  <Manager/>
  <Company>Temple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Hannah L Mayberry</dc:creator>
  <cp:keywords/>
  <dc:description/>
  <cp:lastModifiedBy>Charlotte Bavley</cp:lastModifiedBy>
  <cp:revision/>
  <dcterms:created xsi:type="dcterms:W3CDTF">2019-09-27T15:49:17Z</dcterms:created>
  <dcterms:modified xsi:type="dcterms:W3CDTF">2022-04-28T14:08:17Z</dcterms:modified>
  <cp:category/>
  <cp:contentStatus/>
</cp:coreProperties>
</file>
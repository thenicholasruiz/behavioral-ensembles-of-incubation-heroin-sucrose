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2"/>
  <workbookPr/>
  <mc:AlternateContent xmlns:mc="http://schemas.openxmlformats.org/markup-compatibility/2006">
    <mc:Choice Requires="x15">
      <x15ac:absPath xmlns:x15ac="http://schemas.microsoft.com/office/spreadsheetml/2010/11/ac" url="https://tuprd-my.sharepoint.com/personal/tug82756_temple_edu/Documents/Wimmer Lab Data/INCUBATION PROJECT/Heroin Incubation + D2 TRAP/"/>
    </mc:Choice>
  </mc:AlternateContent>
  <xr:revisionPtr revIDLastSave="2969" documentId="11_2B7D0FB648772D7194CA4DAFD95D434AD3E10272" xr6:coauthVersionLast="47" xr6:coauthVersionMax="47" xr10:uidLastSave="{EF08B93A-CE6D-4810-921A-4667B862AE40}"/>
  <bookViews>
    <workbookView xWindow="-108" yWindow="-108" windowWidth="23256" windowHeight="12456" firstSheet="1" activeTab="13" xr2:uid="{00000000-000D-0000-FFFF-FFFF00000000}"/>
  </bookViews>
  <sheets>
    <sheet name="Animals &amp; Surgery Log" sheetId="1" r:id="rId1"/>
    <sheet name="D2 TRAP + INC MIXED SEX COH 1" sheetId="2" r:id="rId2"/>
    <sheet name="HLM D2 TRAP COH 1" sheetId="7" r:id="rId3"/>
    <sheet name="D2 TRAP + INC COH 2 (MALES)" sheetId="9" r:id="rId4"/>
    <sheet name="HLM D2 TRAP COH 2" sheetId="10" r:id="rId5"/>
    <sheet name="D2 TRAP + INC COH 3 (FEMALES)" sheetId="11" r:id="rId6"/>
    <sheet name="HLM D2 TRAP COH 3" sheetId="12" r:id="rId7"/>
    <sheet name="D2 TRAP + INC COH 4 (MALES)" sheetId="13" r:id="rId8"/>
    <sheet name="HLM D2 TRAP COH 4" sheetId="14" r:id="rId9"/>
    <sheet name="D2 TRAP + INC COH 5 (FEMALES)" sheetId="15" r:id="rId10"/>
    <sheet name="HLM D2 TRAP COH 5" sheetId="16" r:id="rId11"/>
    <sheet name="Cue reactivity" sheetId="6" r:id="rId12"/>
    <sheet name="Data Sheet" sheetId="3" r:id="rId13"/>
    <sheet name="IVSA Estrous Cycle Data" sheetId="17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17" l="1"/>
  <c r="Y9" i="17"/>
  <c r="Y10" i="17"/>
  <c r="Y11" i="17"/>
  <c r="Y12" i="17"/>
  <c r="Y13" i="17"/>
  <c r="Y14" i="17"/>
  <c r="Y15" i="17"/>
  <c r="Y16" i="17"/>
  <c r="Y17" i="17"/>
  <c r="Y18" i="17"/>
  <c r="Y19" i="17"/>
  <c r="T7" i="17"/>
  <c r="Y38" i="17"/>
  <c r="T38" i="17"/>
  <c r="BA9" i="17"/>
  <c r="BA10" i="17"/>
  <c r="BA11" i="17"/>
  <c r="BA12" i="17"/>
  <c r="BA13" i="17"/>
  <c r="BA14" i="17"/>
  <c r="BA15" i="17"/>
  <c r="BA16" i="17"/>
  <c r="BA17" i="17"/>
  <c r="BA18" i="17"/>
  <c r="BA8" i="17"/>
  <c r="AW9" i="17"/>
  <c r="AW10" i="17"/>
  <c r="AW11" i="17"/>
  <c r="AW12" i="17"/>
  <c r="AW13" i="17"/>
  <c r="AW14" i="17"/>
  <c r="AW15" i="17"/>
  <c r="AW16" i="17"/>
  <c r="AW17" i="17"/>
  <c r="AW18" i="17"/>
  <c r="AW8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AG33" i="16"/>
  <c r="AF33" i="16"/>
  <c r="AG28" i="16"/>
  <c r="AF28" i="16"/>
  <c r="AG21" i="16"/>
  <c r="AF21" i="16"/>
  <c r="O33" i="16"/>
  <c r="N33" i="16"/>
  <c r="O28" i="16"/>
  <c r="N28" i="16"/>
  <c r="O21" i="16"/>
  <c r="N21" i="16"/>
  <c r="O41" i="16"/>
  <c r="N37" i="16"/>
  <c r="O20" i="16"/>
  <c r="N20" i="16"/>
  <c r="O19" i="16"/>
  <c r="N19" i="16"/>
  <c r="O18" i="16"/>
  <c r="N18" i="16"/>
  <c r="O27" i="16"/>
  <c r="N27" i="16"/>
  <c r="N41" i="16"/>
  <c r="O40" i="16"/>
  <c r="N40" i="16"/>
  <c r="O32" i="16"/>
  <c r="N32" i="16"/>
  <c r="O26" i="16"/>
  <c r="N26" i="16"/>
  <c r="O25" i="16"/>
  <c r="N25" i="16"/>
  <c r="O31" i="16"/>
  <c r="N31" i="16"/>
  <c r="N9" i="16" s="1"/>
  <c r="O24" i="16"/>
  <c r="N24" i="16"/>
  <c r="N11" i="16" s="1"/>
  <c r="O39" i="16"/>
  <c r="N39" i="16"/>
  <c r="O38" i="16"/>
  <c r="N38" i="16"/>
  <c r="O37" i="16"/>
  <c r="O17" i="16"/>
  <c r="N17" i="16"/>
  <c r="O16" i="16"/>
  <c r="N16" i="16"/>
  <c r="N10" i="16" s="1"/>
  <c r="AG20" i="16"/>
  <c r="AF20" i="16"/>
  <c r="AG19" i="16"/>
  <c r="AF19" i="16"/>
  <c r="AG18" i="16"/>
  <c r="AF18" i="16"/>
  <c r="AG27" i="16"/>
  <c r="AF27" i="16"/>
  <c r="AG41" i="16"/>
  <c r="AF41" i="16"/>
  <c r="AG40" i="16"/>
  <c r="AF40" i="16"/>
  <c r="AG32" i="16"/>
  <c r="AF32" i="16"/>
  <c r="AG26" i="16"/>
  <c r="AF26" i="16"/>
  <c r="AG25" i="16"/>
  <c r="AF25" i="16"/>
  <c r="AG31" i="16"/>
  <c r="AF31" i="16"/>
  <c r="AG9" i="16" s="1"/>
  <c r="AG24" i="16"/>
  <c r="AF24" i="16"/>
  <c r="AG11" i="16" s="1"/>
  <c r="AG39" i="16"/>
  <c r="AF39" i="16"/>
  <c r="AG38" i="16"/>
  <c r="AF38" i="16"/>
  <c r="AG37" i="16"/>
  <c r="AF37" i="16"/>
  <c r="AG17" i="16"/>
  <c r="AF17" i="16"/>
  <c r="AG16" i="16"/>
  <c r="AF16" i="16"/>
  <c r="AG10" i="16" s="1"/>
  <c r="AY17" i="16"/>
  <c r="AY37" i="16"/>
  <c r="AY38" i="16"/>
  <c r="AY39" i="16"/>
  <c r="AY24" i="16"/>
  <c r="AY31" i="16"/>
  <c r="AY25" i="16"/>
  <c r="AY26" i="16"/>
  <c r="AY32" i="16"/>
  <c r="AY40" i="16"/>
  <c r="AY41" i="16"/>
  <c r="AY27" i="16"/>
  <c r="AY18" i="16"/>
  <c r="AY19" i="16"/>
  <c r="AY20" i="16"/>
  <c r="AY16" i="16"/>
  <c r="AX17" i="16"/>
  <c r="AX37" i="16"/>
  <c r="AX38" i="16"/>
  <c r="AX39" i="16"/>
  <c r="AX24" i="16"/>
  <c r="AX31" i="16"/>
  <c r="AX25" i="16"/>
  <c r="AX26" i="16"/>
  <c r="AX32" i="16"/>
  <c r="AX40" i="16"/>
  <c r="AX41" i="16"/>
  <c r="AX27" i="16"/>
  <c r="AX18" i="16"/>
  <c r="AX19" i="16"/>
  <c r="AX20" i="16"/>
  <c r="AX16" i="16"/>
  <c r="AY24" i="14"/>
  <c r="AX24" i="14"/>
  <c r="AG24" i="14"/>
  <c r="AF24" i="14"/>
  <c r="AY33" i="14"/>
  <c r="AX33" i="14"/>
  <c r="AG33" i="14"/>
  <c r="AF33" i="14"/>
  <c r="AY38" i="14"/>
  <c r="AX38" i="14"/>
  <c r="AG38" i="14"/>
  <c r="AF38" i="14"/>
  <c r="O38" i="14"/>
  <c r="N38" i="14"/>
  <c r="O33" i="14"/>
  <c r="N33" i="14"/>
  <c r="O24" i="14"/>
  <c r="N24" i="14"/>
  <c r="O32" i="14"/>
  <c r="N32" i="14"/>
  <c r="O31" i="14"/>
  <c r="N31" i="14"/>
  <c r="O37" i="14"/>
  <c r="N37" i="14"/>
  <c r="O30" i="14"/>
  <c r="N30" i="14"/>
  <c r="O23" i="14"/>
  <c r="N23" i="14"/>
  <c r="O22" i="14"/>
  <c r="N22" i="14"/>
  <c r="O45" i="14"/>
  <c r="N45" i="14"/>
  <c r="O44" i="14"/>
  <c r="N44" i="14"/>
  <c r="O29" i="14"/>
  <c r="N29" i="14"/>
  <c r="O28" i="14"/>
  <c r="N28" i="14"/>
  <c r="O21" i="14"/>
  <c r="N21" i="14"/>
  <c r="O43" i="14"/>
  <c r="N43" i="14"/>
  <c r="O42" i="14"/>
  <c r="N42" i="14"/>
  <c r="O20" i="14"/>
  <c r="N20" i="14"/>
  <c r="O27" i="14"/>
  <c r="N27" i="14"/>
  <c r="O36" i="14"/>
  <c r="N36" i="14"/>
  <c r="AG32" i="14"/>
  <c r="AF32" i="14"/>
  <c r="AG31" i="14"/>
  <c r="AF31" i="14"/>
  <c r="AG37" i="14"/>
  <c r="AF37" i="14"/>
  <c r="AG30" i="14"/>
  <c r="AF30" i="14"/>
  <c r="AG23" i="14"/>
  <c r="AF23" i="14"/>
  <c r="AG22" i="14"/>
  <c r="AF22" i="14"/>
  <c r="AG45" i="14"/>
  <c r="AF45" i="14"/>
  <c r="AG44" i="14"/>
  <c r="AF44" i="14"/>
  <c r="AG29" i="14"/>
  <c r="AF29" i="14"/>
  <c r="AG28" i="14"/>
  <c r="AF28" i="14"/>
  <c r="AG21" i="14"/>
  <c r="AF21" i="14"/>
  <c r="AG43" i="14"/>
  <c r="AF43" i="14"/>
  <c r="AG42" i="14"/>
  <c r="AF42" i="14"/>
  <c r="AG20" i="14"/>
  <c r="AF20" i="14"/>
  <c r="AG27" i="14"/>
  <c r="AF27" i="14"/>
  <c r="AG36" i="14"/>
  <c r="AF36" i="14"/>
  <c r="AX27" i="14"/>
  <c r="AY27" i="14"/>
  <c r="AX20" i="14"/>
  <c r="AY20" i="14"/>
  <c r="AX42" i="14"/>
  <c r="AY42" i="14"/>
  <c r="AX43" i="14"/>
  <c r="AY43" i="14"/>
  <c r="AX21" i="14"/>
  <c r="AY21" i="14"/>
  <c r="AX28" i="14"/>
  <c r="AY28" i="14"/>
  <c r="AX29" i="14"/>
  <c r="AY29" i="14"/>
  <c r="AX44" i="14"/>
  <c r="AY44" i="14"/>
  <c r="AX45" i="14"/>
  <c r="AY45" i="14"/>
  <c r="AX22" i="14"/>
  <c r="AY22" i="14"/>
  <c r="AX23" i="14"/>
  <c r="AY23" i="14"/>
  <c r="AX30" i="14"/>
  <c r="AY30" i="14"/>
  <c r="AX37" i="14"/>
  <c r="AY37" i="14"/>
  <c r="AX31" i="14"/>
  <c r="AY31" i="14"/>
  <c r="AX32" i="14"/>
  <c r="AY32" i="14"/>
  <c r="AY36" i="14"/>
  <c r="AX36" i="14"/>
  <c r="AY35" i="12"/>
  <c r="AX35" i="12"/>
  <c r="AY36" i="12"/>
  <c r="AX36" i="12"/>
  <c r="AY41" i="12"/>
  <c r="AX41" i="12"/>
  <c r="AY34" i="12"/>
  <c r="AX34" i="12"/>
  <c r="AY25" i="12"/>
  <c r="AX25" i="12"/>
  <c r="AY27" i="12"/>
  <c r="AX27" i="12"/>
  <c r="AY49" i="12"/>
  <c r="AX49" i="12"/>
  <c r="AY48" i="12"/>
  <c r="AX48" i="12"/>
  <c r="AY28" i="12"/>
  <c r="AX28" i="12"/>
  <c r="AY33" i="12"/>
  <c r="AX33" i="12"/>
  <c r="AY32" i="12"/>
  <c r="AY37" i="12" s="1"/>
  <c r="AX32" i="12"/>
  <c r="AX37" i="12" s="1"/>
  <c r="AY40" i="12"/>
  <c r="AY42" i="12" s="1"/>
  <c r="AX40" i="12"/>
  <c r="AX42" i="12" s="1"/>
  <c r="AY26" i="12"/>
  <c r="AX26" i="12"/>
  <c r="AY24" i="12"/>
  <c r="AY29" i="12" s="1"/>
  <c r="AX24" i="12"/>
  <c r="AX29" i="12" s="1"/>
  <c r="AY47" i="12"/>
  <c r="AX47" i="12"/>
  <c r="AY46" i="12"/>
  <c r="AX46" i="12"/>
  <c r="AG35" i="12"/>
  <c r="AF35" i="12"/>
  <c r="AG36" i="12"/>
  <c r="AF36" i="12"/>
  <c r="AG41" i="12"/>
  <c r="AF41" i="12"/>
  <c r="AG34" i="12"/>
  <c r="AF34" i="12"/>
  <c r="AG25" i="12"/>
  <c r="AF25" i="12"/>
  <c r="AG27" i="12"/>
  <c r="AF27" i="12"/>
  <c r="AG49" i="12"/>
  <c r="AF49" i="12"/>
  <c r="AG48" i="12"/>
  <c r="AF48" i="12"/>
  <c r="AG28" i="12"/>
  <c r="AF28" i="12"/>
  <c r="AG33" i="12"/>
  <c r="AF33" i="12"/>
  <c r="AG32" i="12"/>
  <c r="AG37" i="12" s="1"/>
  <c r="AF32" i="12"/>
  <c r="AF37" i="12" s="1"/>
  <c r="AG40" i="12"/>
  <c r="AG42" i="12" s="1"/>
  <c r="AF40" i="12"/>
  <c r="AF42" i="12" s="1"/>
  <c r="AG26" i="12"/>
  <c r="AF26" i="12"/>
  <c r="AG24" i="12"/>
  <c r="AG29" i="12" s="1"/>
  <c r="AF24" i="12"/>
  <c r="AF29" i="12" s="1"/>
  <c r="AG47" i="12"/>
  <c r="AF47" i="12"/>
  <c r="AG46" i="12"/>
  <c r="AF46" i="12"/>
  <c r="O47" i="12"/>
  <c r="O24" i="12"/>
  <c r="O26" i="12"/>
  <c r="O40" i="12"/>
  <c r="O32" i="12"/>
  <c r="O33" i="12"/>
  <c r="O28" i="12"/>
  <c r="O48" i="12"/>
  <c r="O49" i="12"/>
  <c r="O27" i="12"/>
  <c r="O25" i="12"/>
  <c r="O34" i="12"/>
  <c r="O41" i="12"/>
  <c r="O36" i="12"/>
  <c r="O35" i="12"/>
  <c r="O46" i="12"/>
  <c r="N47" i="12"/>
  <c r="N24" i="12"/>
  <c r="N26" i="12"/>
  <c r="N40" i="12"/>
  <c r="N32" i="12"/>
  <c r="N33" i="12"/>
  <c r="N28" i="12"/>
  <c r="N48" i="12"/>
  <c r="N49" i="12"/>
  <c r="N27" i="12"/>
  <c r="N25" i="12"/>
  <c r="N34" i="12"/>
  <c r="N41" i="12"/>
  <c r="N36" i="12"/>
  <c r="N35" i="12"/>
  <c r="N46" i="12"/>
  <c r="AI11" i="16" l="1"/>
  <c r="AI10" i="16"/>
  <c r="AI9" i="16"/>
  <c r="P11" i="16"/>
  <c r="P10" i="16"/>
  <c r="P9" i="16"/>
  <c r="N37" i="12"/>
  <c r="N42" i="12"/>
  <c r="N29" i="12"/>
  <c r="O37" i="12"/>
  <c r="O42" i="12"/>
  <c r="O29" i="12"/>
  <c r="N38" i="10"/>
  <c r="O38" i="10"/>
  <c r="AF38" i="10"/>
  <c r="AG38" i="10"/>
  <c r="AX38" i="10"/>
  <c r="AY38" i="10"/>
  <c r="N39" i="10"/>
  <c r="O39" i="10"/>
  <c r="AF39" i="10"/>
  <c r="AG39" i="10"/>
  <c r="AX39" i="10"/>
  <c r="AY39" i="10"/>
  <c r="O27" i="10"/>
  <c r="N32" i="10"/>
  <c r="AY35" i="10"/>
  <c r="AX35" i="10"/>
  <c r="AY29" i="10"/>
  <c r="AX29" i="10"/>
  <c r="AY28" i="10"/>
  <c r="AX28" i="10"/>
  <c r="AY47" i="10"/>
  <c r="AX47" i="10"/>
  <c r="AY46" i="10"/>
  <c r="AX46" i="10"/>
  <c r="AY27" i="10"/>
  <c r="AX27" i="10"/>
  <c r="AY26" i="10"/>
  <c r="AX26" i="10"/>
  <c r="AY34" i="10"/>
  <c r="AX34" i="10"/>
  <c r="AY33" i="10"/>
  <c r="AX33" i="10"/>
  <c r="AY45" i="10"/>
  <c r="AX45" i="10"/>
  <c r="AY44" i="10"/>
  <c r="AX44" i="10"/>
  <c r="AY32" i="10"/>
  <c r="AY36" i="10" s="1"/>
  <c r="AX32" i="10"/>
  <c r="AX36" i="10" s="1"/>
  <c r="AY25" i="10"/>
  <c r="AX25" i="10"/>
  <c r="AY24" i="10"/>
  <c r="AY30" i="10" s="1"/>
  <c r="AX24" i="10"/>
  <c r="AX30" i="10" s="1"/>
  <c r="O35" i="10"/>
  <c r="N35" i="10"/>
  <c r="O29" i="10"/>
  <c r="N29" i="10"/>
  <c r="O28" i="10"/>
  <c r="N28" i="10"/>
  <c r="O47" i="10"/>
  <c r="N47" i="10"/>
  <c r="O46" i="10"/>
  <c r="N46" i="10"/>
  <c r="N27" i="10"/>
  <c r="O26" i="10"/>
  <c r="N26" i="10"/>
  <c r="O34" i="10"/>
  <c r="N34" i="10"/>
  <c r="O33" i="10"/>
  <c r="N33" i="10"/>
  <c r="O45" i="10"/>
  <c r="N45" i="10"/>
  <c r="O44" i="10"/>
  <c r="N44" i="10"/>
  <c r="O32" i="10"/>
  <c r="O25" i="10"/>
  <c r="N25" i="10"/>
  <c r="O24" i="10"/>
  <c r="N24" i="10"/>
  <c r="AG25" i="10"/>
  <c r="AG32" i="10"/>
  <c r="AG44" i="10"/>
  <c r="AG45" i="10"/>
  <c r="AG33" i="10"/>
  <c r="AG34" i="10"/>
  <c r="AG26" i="10"/>
  <c r="AG27" i="10"/>
  <c r="AG46" i="10"/>
  <c r="AG47" i="10"/>
  <c r="AG28" i="10"/>
  <c r="AG29" i="10"/>
  <c r="AG35" i="10"/>
  <c r="AG24" i="10"/>
  <c r="AG30" i="10" s="1"/>
  <c r="AF25" i="10"/>
  <c r="AF32" i="10"/>
  <c r="AF44" i="10"/>
  <c r="AF45" i="10"/>
  <c r="AF33" i="10"/>
  <c r="AF34" i="10"/>
  <c r="AF26" i="10"/>
  <c r="AF27" i="10"/>
  <c r="AF46" i="10"/>
  <c r="AF47" i="10"/>
  <c r="AF28" i="10"/>
  <c r="AF29" i="10"/>
  <c r="AF35" i="10"/>
  <c r="AF24" i="10"/>
  <c r="AF30" i="10" l="1"/>
  <c r="N30" i="10"/>
  <c r="O36" i="10"/>
  <c r="O30" i="10"/>
  <c r="AF36" i="10"/>
  <c r="AG36" i="10"/>
  <c r="N36" i="10"/>
  <c r="AY40" i="10"/>
  <c r="AX40" i="10"/>
  <c r="AG40" i="10"/>
  <c r="AF40" i="10"/>
  <c r="O40" i="10"/>
  <c r="N40" i="10"/>
  <c r="N37" i="7"/>
  <c r="AG39" i="7"/>
  <c r="AF44" i="7"/>
  <c r="AY36" i="7"/>
  <c r="AX44" i="7"/>
  <c r="AY29" i="7"/>
  <c r="AX29" i="7"/>
  <c r="AY25" i="7"/>
  <c r="AX25" i="7"/>
  <c r="AY46" i="7"/>
  <c r="AX46" i="7"/>
  <c r="AY40" i="7"/>
  <c r="AX40" i="7"/>
  <c r="AX36" i="7"/>
  <c r="AY39" i="7"/>
  <c r="AX39" i="7"/>
  <c r="AY38" i="7"/>
  <c r="AX38" i="7"/>
  <c r="AY37" i="7"/>
  <c r="AX37" i="7"/>
  <c r="AY45" i="7"/>
  <c r="AX45" i="7"/>
  <c r="AY44" i="7"/>
  <c r="AY28" i="7"/>
  <c r="AX28" i="7"/>
  <c r="AY27" i="7"/>
  <c r="AX27" i="7"/>
  <c r="AY26" i="7"/>
  <c r="AX26" i="7"/>
  <c r="AY31" i="7"/>
  <c r="AX31" i="7"/>
  <c r="AY32" i="7"/>
  <c r="AX32" i="7"/>
  <c r="AY30" i="7"/>
  <c r="AX30" i="7"/>
  <c r="AG29" i="7"/>
  <c r="AF29" i="7"/>
  <c r="AG25" i="7"/>
  <c r="AF25" i="7"/>
  <c r="AG46" i="7"/>
  <c r="AF46" i="7"/>
  <c r="AG40" i="7"/>
  <c r="AF40" i="7"/>
  <c r="AG36" i="7"/>
  <c r="AF36" i="7"/>
  <c r="AF39" i="7"/>
  <c r="AG38" i="7"/>
  <c r="AF38" i="7"/>
  <c r="AG37" i="7"/>
  <c r="AF37" i="7"/>
  <c r="AG45" i="7"/>
  <c r="AF45" i="7"/>
  <c r="AG44" i="7"/>
  <c r="AG28" i="7"/>
  <c r="AF28" i="7"/>
  <c r="AG27" i="7"/>
  <c r="AF27" i="7"/>
  <c r="AG26" i="7"/>
  <c r="AF26" i="7"/>
  <c r="AG31" i="7"/>
  <c r="AF31" i="7"/>
  <c r="AG32" i="7"/>
  <c r="AF32" i="7"/>
  <c r="AG30" i="7"/>
  <c r="AF30" i="7"/>
  <c r="O32" i="7"/>
  <c r="O31" i="7"/>
  <c r="O26" i="7"/>
  <c r="O27" i="7"/>
  <c r="O28" i="7"/>
  <c r="O44" i="7"/>
  <c r="O45" i="7"/>
  <c r="O37" i="7"/>
  <c r="O38" i="7"/>
  <c r="O39" i="7"/>
  <c r="O36" i="7"/>
  <c r="O40" i="7"/>
  <c r="O46" i="7"/>
  <c r="O25" i="7"/>
  <c r="O29" i="7"/>
  <c r="O30" i="7"/>
  <c r="N32" i="7"/>
  <c r="N31" i="7"/>
  <c r="N26" i="7"/>
  <c r="N27" i="7"/>
  <c r="N28" i="7"/>
  <c r="N44" i="7"/>
  <c r="N45" i="7"/>
  <c r="N38" i="7"/>
  <c r="N39" i="7"/>
  <c r="N36" i="7"/>
  <c r="N40" i="7"/>
  <c r="N46" i="7"/>
  <c r="N25" i="7"/>
  <c r="N29" i="7"/>
  <c r="N30" i="7"/>
</calcChain>
</file>

<file path=xl/sharedStrings.xml><?xml version="1.0" encoding="utf-8"?>
<sst xmlns="http://schemas.openxmlformats.org/spreadsheetml/2006/main" count="3977" uniqueCount="369">
  <si>
    <t>Animals</t>
  </si>
  <si>
    <t>Cohort 1</t>
  </si>
  <si>
    <t>Box</t>
  </si>
  <si>
    <t>Eartag</t>
  </si>
  <si>
    <t>Surgery Date</t>
  </si>
  <si>
    <t>Surgeon</t>
  </si>
  <si>
    <t>Weight (g)</t>
  </si>
  <si>
    <t>Experimental Group</t>
  </si>
  <si>
    <t>Condition</t>
  </si>
  <si>
    <t>Pair-housing</t>
  </si>
  <si>
    <t>T213</t>
  </si>
  <si>
    <t>HM</t>
  </si>
  <si>
    <t>HEROIN</t>
  </si>
  <si>
    <t>WS CR</t>
  </si>
  <si>
    <t>544 (3)</t>
  </si>
  <si>
    <t>T213 (1)</t>
  </si>
  <si>
    <t>WT females</t>
  </si>
  <si>
    <t>Heroin</t>
  </si>
  <si>
    <t>T214</t>
  </si>
  <si>
    <t>T214 (2)</t>
  </si>
  <si>
    <t>T215 (NOT RUNNING)</t>
  </si>
  <si>
    <t>545 (4)</t>
  </si>
  <si>
    <t>G258 (5)</t>
  </si>
  <si>
    <t>G266 (6)</t>
  </si>
  <si>
    <t>WT female</t>
  </si>
  <si>
    <t>G258</t>
  </si>
  <si>
    <t>T208 (7)</t>
  </si>
  <si>
    <t>T209 (8)</t>
  </si>
  <si>
    <t>D2-Pos females</t>
  </si>
  <si>
    <t>Saline</t>
  </si>
  <si>
    <t>G266</t>
  </si>
  <si>
    <t>546 (9)</t>
  </si>
  <si>
    <t>T216 (10)</t>
  </si>
  <si>
    <t>T208</t>
  </si>
  <si>
    <t>AB</t>
  </si>
  <si>
    <t>SALINE+TRAP</t>
  </si>
  <si>
    <t>DAY 30 TISSUE</t>
  </si>
  <si>
    <t>T203 (11)</t>
  </si>
  <si>
    <t>D2-Pos female</t>
  </si>
  <si>
    <t>T209</t>
  </si>
  <si>
    <t>T193 (12)</t>
  </si>
  <si>
    <t>T194 (13)</t>
  </si>
  <si>
    <t>D2-Pos males</t>
  </si>
  <si>
    <t>HEROIN+TRAP</t>
  </si>
  <si>
    <t>T220 (14)</t>
  </si>
  <si>
    <t>D2-Pos male</t>
  </si>
  <si>
    <t>T216</t>
  </si>
  <si>
    <t>T217 (15)</t>
  </si>
  <si>
    <t>T218 (16)</t>
  </si>
  <si>
    <t>WT males</t>
  </si>
  <si>
    <t>T203</t>
  </si>
  <si>
    <t>T193</t>
  </si>
  <si>
    <t>T194</t>
  </si>
  <si>
    <t>T220</t>
  </si>
  <si>
    <t>T217</t>
  </si>
  <si>
    <t>T218</t>
  </si>
  <si>
    <t>Cohort 2</t>
  </si>
  <si>
    <t>T231</t>
  </si>
  <si>
    <t>T231 (1)</t>
  </si>
  <si>
    <t>T233 (2)</t>
  </si>
  <si>
    <t>T233</t>
  </si>
  <si>
    <t>T234 (3)</t>
  </si>
  <si>
    <t>T235 (4)</t>
  </si>
  <si>
    <t>T234</t>
  </si>
  <si>
    <t>T237 (5)</t>
  </si>
  <si>
    <t>T238 (6)</t>
  </si>
  <si>
    <t>T235</t>
  </si>
  <si>
    <t>T256 (7)</t>
  </si>
  <si>
    <t>T260 (8)</t>
  </si>
  <si>
    <t>T237</t>
  </si>
  <si>
    <t>T271 (9)</t>
  </si>
  <si>
    <t>T273 (10)</t>
  </si>
  <si>
    <t>T238</t>
  </si>
  <si>
    <t>T279 (11)</t>
  </si>
  <si>
    <t>T280 (12)</t>
  </si>
  <si>
    <t>T256</t>
  </si>
  <si>
    <t>T317 (13)</t>
  </si>
  <si>
    <t>T290 (14)</t>
  </si>
  <si>
    <t>T260</t>
  </si>
  <si>
    <t>T293 (15)</t>
  </si>
  <si>
    <t>T294 (16)</t>
  </si>
  <si>
    <t>T271</t>
  </si>
  <si>
    <t>T240 (BACK UP)</t>
  </si>
  <si>
    <t>Single</t>
  </si>
  <si>
    <t>T273</t>
  </si>
  <si>
    <t>T244 (BACK UP)</t>
  </si>
  <si>
    <t>T279</t>
  </si>
  <si>
    <t>T280</t>
  </si>
  <si>
    <t>T317</t>
  </si>
  <si>
    <r>
      <t xml:space="preserve">T290
</t>
    </r>
    <r>
      <rPr>
        <sz val="8"/>
        <color theme="1"/>
        <rFont val="Calibri"/>
        <family val="2"/>
        <scheme val="minor"/>
      </rPr>
      <t>(no eartag)</t>
    </r>
  </si>
  <si>
    <t>T293</t>
  </si>
  <si>
    <t>T294</t>
  </si>
  <si>
    <t>BACK UP</t>
  </si>
  <si>
    <t>T240</t>
  </si>
  <si>
    <t>T244</t>
  </si>
  <si>
    <t>Cohort 3</t>
  </si>
  <si>
    <t>T227</t>
  </si>
  <si>
    <t>T227 (1)</t>
  </si>
  <si>
    <t>T228 (2)</t>
  </si>
  <si>
    <t>T228
(no eartag)</t>
  </si>
  <si>
    <t>T245 (3)</t>
  </si>
  <si>
    <t>T247 (4)</t>
  </si>
  <si>
    <t>T245</t>
  </si>
  <si>
    <t>T250 (5)</t>
  </si>
  <si>
    <t>T255 (6)</t>
  </si>
  <si>
    <t>T247</t>
  </si>
  <si>
    <t>T262 (BACK UP)</t>
  </si>
  <si>
    <t>T275 (7)</t>
  </si>
  <si>
    <t>T250</t>
  </si>
  <si>
    <t>T265 (8)</t>
  </si>
  <si>
    <t>T255</t>
  </si>
  <si>
    <t>T266 (9)</t>
  </si>
  <si>
    <t>T267 (10)</t>
  </si>
  <si>
    <t>T275</t>
  </si>
  <si>
    <t>T282 (11)</t>
  </si>
  <si>
    <t>T284 (12)</t>
  </si>
  <si>
    <t>T265</t>
  </si>
  <si>
    <t>T286 (13)</t>
  </si>
  <si>
    <t>T287 (14)</t>
  </si>
  <si>
    <t>T266</t>
  </si>
  <si>
    <t>T299 (15)</t>
  </si>
  <si>
    <t>T300 (16)</t>
  </si>
  <si>
    <t>T267</t>
  </si>
  <si>
    <t>T282</t>
  </si>
  <si>
    <t>T284</t>
  </si>
  <si>
    <t>T286</t>
  </si>
  <si>
    <t>T287
(no eartag)</t>
  </si>
  <si>
    <t>T299</t>
  </si>
  <si>
    <t>T300
(no eartag)</t>
  </si>
  <si>
    <t>T262</t>
  </si>
  <si>
    <t>Cohort 4</t>
  </si>
  <si>
    <t>T301</t>
  </si>
  <si>
    <t>T301 (1)</t>
  </si>
  <si>
    <t>T306 (2)</t>
  </si>
  <si>
    <t>T306</t>
  </si>
  <si>
    <t>T298 (BACK UP)</t>
  </si>
  <si>
    <t>T308 (3)</t>
  </si>
  <si>
    <t>T308</t>
  </si>
  <si>
    <t>T324 (4)</t>
  </si>
  <si>
    <t>T326 (5)</t>
  </si>
  <si>
    <t>T324
(no eartag)</t>
  </si>
  <si>
    <t>T327 (6)</t>
  </si>
  <si>
    <t>T326</t>
  </si>
  <si>
    <t>T338 (7)</t>
  </si>
  <si>
    <t>T339 (8)</t>
  </si>
  <si>
    <t>T327</t>
  </si>
  <si>
    <t>T340 (9)</t>
  </si>
  <si>
    <t>T341 (10)</t>
  </si>
  <si>
    <t>T338
(no eartag)</t>
  </si>
  <si>
    <t>T342 (11)</t>
  </si>
  <si>
    <t>T343 (12)</t>
  </si>
  <si>
    <t>T339</t>
  </si>
  <si>
    <t>T345 (13)</t>
  </si>
  <si>
    <t>T344 (14)</t>
  </si>
  <si>
    <t>T340</t>
  </si>
  <si>
    <t>T351 (15)</t>
  </si>
  <si>
    <t>T352 (16)</t>
  </si>
  <si>
    <t>T341</t>
  </si>
  <si>
    <t>T342</t>
  </si>
  <si>
    <t>T343</t>
  </si>
  <si>
    <t>T345</t>
  </si>
  <si>
    <t>T344 (WT)</t>
  </si>
  <si>
    <t>HEROIN WT</t>
  </si>
  <si>
    <t>T351</t>
  </si>
  <si>
    <t>T352</t>
  </si>
  <si>
    <t>T298 (WT)</t>
  </si>
  <si>
    <t>Cohort 5</t>
  </si>
  <si>
    <t>T310</t>
  </si>
  <si>
    <t>T310 (1)</t>
  </si>
  <si>
    <t>T311 (2)</t>
  </si>
  <si>
    <t>T311</t>
  </si>
  <si>
    <t>T313 (3)</t>
  </si>
  <si>
    <t>T314 (4)</t>
  </si>
  <si>
    <t>T313</t>
  </si>
  <si>
    <t>T331 (5)</t>
  </si>
  <si>
    <t>T314</t>
  </si>
  <si>
    <t>T336 (6)</t>
  </si>
  <si>
    <t>T337 (7)</t>
  </si>
  <si>
    <t>T331</t>
  </si>
  <si>
    <t>T346 (8)</t>
  </si>
  <si>
    <t>T347 (9)</t>
  </si>
  <si>
    <t>T336</t>
  </si>
  <si>
    <t>T348 (10)</t>
  </si>
  <si>
    <t>T337</t>
  </si>
  <si>
    <t>T355 (11)</t>
  </si>
  <si>
    <t>T357 (12)</t>
  </si>
  <si>
    <t>T346</t>
  </si>
  <si>
    <t>T358 (13)</t>
  </si>
  <si>
    <t>T360 (NOT RUNNING)</t>
  </si>
  <si>
    <t>T347</t>
  </si>
  <si>
    <t>T362 (14)</t>
  </si>
  <si>
    <t>T364 (15)</t>
  </si>
  <si>
    <t>T348</t>
  </si>
  <si>
    <t>T366 (16)</t>
  </si>
  <si>
    <t>T355</t>
  </si>
  <si>
    <t>T357</t>
  </si>
  <si>
    <t>T358</t>
  </si>
  <si>
    <t>T362</t>
  </si>
  <si>
    <t>T364</t>
  </si>
  <si>
    <t>T366</t>
  </si>
  <si>
    <t>Male and female Long Evans on reverse light-dark cycle (lights OFF from 9am to 9pm)</t>
  </si>
  <si>
    <t>Running in 16 box room from 1/25 - 2/4</t>
  </si>
  <si>
    <t>Day off on 1/30/21</t>
  </si>
  <si>
    <t>9.5 intermittent access (3 hours ON &gt;&gt; 15 mins OFF x3)</t>
  </si>
  <si>
    <t>USVs</t>
  </si>
  <si>
    <t>hard to flush</t>
  </si>
  <si>
    <t>really tangled tether (drug line may have been disrupted)</t>
  </si>
  <si>
    <t xml:space="preserve">Tether completely detached </t>
  </si>
  <si>
    <t>program:</t>
  </si>
  <si>
    <t>HEROIN_9HR_FR1_INTERMITTENT_CUES_75MAX</t>
  </si>
  <si>
    <t>WEIGHT (G)</t>
  </si>
  <si>
    <t>DAY 1</t>
  </si>
  <si>
    <t>DAY 2</t>
  </si>
  <si>
    <t>DAY 3</t>
  </si>
  <si>
    <t>DAY 4</t>
  </si>
  <si>
    <t>DAY 5</t>
  </si>
  <si>
    <t>DAY OFF</t>
  </si>
  <si>
    <t>DAY 6</t>
  </si>
  <si>
    <t>DAY 7</t>
  </si>
  <si>
    <t>DAY 8</t>
  </si>
  <si>
    <t>DAY 9</t>
  </si>
  <si>
    <t>DAY 10</t>
  </si>
  <si>
    <t>Animal ID</t>
  </si>
  <si>
    <t>Box #</t>
  </si>
  <si>
    <t>SALINE</t>
  </si>
  <si>
    <t>HEROIN_9.5HOUR_INTERMITTENT_CUES_75MAX</t>
  </si>
  <si>
    <t>INFUSIONS</t>
  </si>
  <si>
    <t xml:space="preserve"> </t>
  </si>
  <si>
    <t>ACTIVE LEVERS</t>
  </si>
  <si>
    <t>INACTIVE LEVERS</t>
  </si>
  <si>
    <t>Last 3 day avg</t>
  </si>
  <si>
    <t>Total avg</t>
  </si>
  <si>
    <t>CONDITION</t>
  </si>
  <si>
    <t>WS CR *NOTE: Chewed catheter in incubation*</t>
  </si>
  <si>
    <t>DAY 1 TISSUE</t>
  </si>
  <si>
    <t>*NOTE: Chewed catheter in incubation*</t>
  </si>
  <si>
    <t>SALINE DAY 30 TISSUE</t>
  </si>
  <si>
    <t>Male Long Evans on reverse light-dark cycle (lights OFF from 9am to 9pm)</t>
  </si>
  <si>
    <t>Running in 16 box room from 3/7 - 3/17/21</t>
  </si>
  <si>
    <t>Day off on 3/13/21</t>
  </si>
  <si>
    <t>USVs recorded</t>
  </si>
  <si>
    <t>Not groomed</t>
  </si>
  <si>
    <t>Gash on implant (Neopredef applied)</t>
  </si>
  <si>
    <t>Disconnected</t>
  </si>
  <si>
    <t>Drug line twisted</t>
  </si>
  <si>
    <t>Ear tag obscured</t>
  </si>
  <si>
    <t>Painful/hard to flush</t>
  </si>
  <si>
    <t>Audible construction noise</t>
  </si>
  <si>
    <t>day 1 tissue</t>
  </si>
  <si>
    <t>W-S cue test</t>
  </si>
  <si>
    <t>day 30 tissue</t>
  </si>
  <si>
    <t>day 30 saline tissue</t>
  </si>
  <si>
    <t>Average</t>
  </si>
  <si>
    <t>died in incubation</t>
  </si>
  <si>
    <t>W-S CUE TEST</t>
  </si>
  <si>
    <t>W-S CUE TEST - died in incubation</t>
  </si>
  <si>
    <t>DAY 30 SALINE TISSUE</t>
  </si>
  <si>
    <t>chewed catheter in incubation</t>
  </si>
  <si>
    <t>Female Long Evans on reverse light-dark cycle (lights OFF from 9am to 9pm)</t>
  </si>
  <si>
    <t>Running in 16 box room from 4/12 - 4/22</t>
  </si>
  <si>
    <t>Day off on 4/19/21</t>
  </si>
  <si>
    <t>wounded, neopredef applied</t>
  </si>
  <si>
    <t>painful to flush</t>
  </si>
  <si>
    <t>in a lot of pain (during flushing, while being lavaged, and in general. This animal seemed calmer on the morning of 4/15)</t>
  </si>
  <si>
    <t>weak, may be sick</t>
  </si>
  <si>
    <t>cyst forming</t>
  </si>
  <si>
    <t>Running in 16 box room from 5/17 - 5/27/21</t>
  </si>
  <si>
    <t>Day off on 5/24</t>
  </si>
  <si>
    <t>Hard to flush</t>
  </si>
  <si>
    <t>Not connected to line because of clog/aggression</t>
  </si>
  <si>
    <t xml:space="preserve">Tether detached </t>
  </si>
  <si>
    <t>Two WS cue tests - one of which is T344 (WT)</t>
  </si>
  <si>
    <t>Four Day 1</t>
  </si>
  <si>
    <t>Six Day 30</t>
  </si>
  <si>
    <t>Four Saline Day 30</t>
  </si>
  <si>
    <t>Saline Day 30 tissue</t>
  </si>
  <si>
    <t>Running in 16 box room from 6/8 - 6/17/21</t>
  </si>
  <si>
    <t>Tether disconnected</t>
  </si>
  <si>
    <t>Ungroomed</t>
  </si>
  <si>
    <t>Neosporin applied around catheter</t>
  </si>
  <si>
    <t>ACTIVE LEVER PRESSES</t>
  </si>
  <si>
    <t>INACTIVE LEVER PRESSES</t>
  </si>
  <si>
    <t>coh 5</t>
  </si>
  <si>
    <t>coh 3</t>
  </si>
  <si>
    <t>avg</t>
  </si>
  <si>
    <t>WS</t>
  </si>
  <si>
    <t>COHORT 1</t>
  </si>
  <si>
    <t>Within-subjects 30 min cue tests</t>
  </si>
  <si>
    <t>Estrous cycle</t>
  </si>
  <si>
    <t>Sex/Geno</t>
  </si>
  <si>
    <t>ANIMAL ID</t>
  </si>
  <si>
    <t>BOX</t>
  </si>
  <si>
    <t>ACTIVE LEVER</t>
  </si>
  <si>
    <t>INACTIVE LEVER</t>
  </si>
  <si>
    <t>Locomotion videos</t>
  </si>
  <si>
    <t>D2</t>
  </si>
  <si>
    <t>F, WT</t>
  </si>
  <si>
    <t>YES</t>
  </si>
  <si>
    <t>estrus</t>
  </si>
  <si>
    <t>YES - House light out at start</t>
  </si>
  <si>
    <t>proestrus</t>
  </si>
  <si>
    <t>N/A</t>
  </si>
  <si>
    <t>M, WT</t>
  </si>
  <si>
    <t>DAY 30</t>
  </si>
  <si>
    <t>D1</t>
  </si>
  <si>
    <t>NOTE: chewed catheter, not connected to tether during cue test</t>
  </si>
  <si>
    <t>NO</t>
  </si>
  <si>
    <t>NOTE: stuck cap, not connected to tether during cue test</t>
  </si>
  <si>
    <t>COHORT 2</t>
  </si>
  <si>
    <t>M, Pos</t>
  </si>
  <si>
    <t>DIED IN INCUBATION</t>
  </si>
  <si>
    <t>COHORT 3</t>
  </si>
  <si>
    <t>F, Pos</t>
  </si>
  <si>
    <t>Proestrus</t>
  </si>
  <si>
    <t>T287</t>
  </si>
  <si>
    <t>Estrus</t>
  </si>
  <si>
    <t>COHORT 4</t>
  </si>
  <si>
    <t>T344</t>
  </si>
  <si>
    <t>MAY NOT HAVE WORKED</t>
  </si>
  <si>
    <t>NOTE: T344's cap could not be removed; was not connected to tether during Day 30 cue test</t>
  </si>
  <si>
    <t>COHORT 5</t>
  </si>
  <si>
    <t>NOTE: T337's cap could not be removed; was not connected to tether during Day 30 cue test</t>
  </si>
  <si>
    <t>DATE: 6/8/21</t>
  </si>
  <si>
    <t>**PLEASE WEIGH AFTER RUNNING ON TUESDAY, 6/8 PM**</t>
  </si>
  <si>
    <t>Temp:                   Humidity:</t>
  </si>
  <si>
    <t>DOSE</t>
  </si>
  <si>
    <t>WEIGHT</t>
  </si>
  <si>
    <t>PROGRAM</t>
  </si>
  <si>
    <t>INF</t>
  </si>
  <si>
    <t>ACTIVE</t>
  </si>
  <si>
    <t>INACTIVE</t>
  </si>
  <si>
    <t>NOTES</t>
  </si>
  <si>
    <t>yellow</t>
  </si>
  <si>
    <t>red</t>
  </si>
  <si>
    <t>DATE: 6/9/21</t>
  </si>
  <si>
    <t>USE WEIGHTS FROM YESTERDAY TO UPDATE DOSES</t>
  </si>
  <si>
    <t>DATE: 6/10/21</t>
  </si>
  <si>
    <t>DATE: 6/11/21</t>
  </si>
  <si>
    <t>**PLEASE WEIGH AFTER RUNNING ON FRIDAY, 6/11 PM**</t>
  </si>
  <si>
    <t>DATE: 6/12/21</t>
  </si>
  <si>
    <t>DATE: 6/13/21</t>
  </si>
  <si>
    <t>DATE: 6/14/21</t>
  </si>
  <si>
    <t>DATE: 6/15/21</t>
  </si>
  <si>
    <t>**PLEASE WEIGH AFTER RUNNING ON TUESDAY, 6/15 PM**</t>
  </si>
  <si>
    <t>DATE: 6/16/21</t>
  </si>
  <si>
    <t>DATE: 6/17/21</t>
  </si>
  <si>
    <t>Estrus = Proestrus &amp; Estrus</t>
  </si>
  <si>
    <t>Non-estrus = Diestrus 1 and diestrus 2</t>
  </si>
  <si>
    <t>Not Lavaged / Inconclusive</t>
  </si>
  <si>
    <t>Dead</t>
  </si>
  <si>
    <t>NIGHT 1</t>
  </si>
  <si>
    <t>NIGHT 2</t>
  </si>
  <si>
    <t>NIGHT 3</t>
  </si>
  <si>
    <t>NIGHT 4</t>
  </si>
  <si>
    <t>NIGHT 5</t>
  </si>
  <si>
    <t>NIGHT 6</t>
  </si>
  <si>
    <t>NIGHT 7</t>
  </si>
  <si>
    <t>NIGHT 8</t>
  </si>
  <si>
    <t>NIGHT 9</t>
  </si>
  <si>
    <t>NIGHT 10</t>
  </si>
  <si>
    <t>cycle 1</t>
  </si>
  <si>
    <t>cycle 2</t>
  </si>
  <si>
    <t>cycle 3</t>
  </si>
  <si>
    <t>cycle 4</t>
  </si>
  <si>
    <t>avg. cycle length</t>
  </si>
  <si>
    <t># of cycles</t>
  </si>
  <si>
    <t>avg. cycle length for cycle 1 and 2</t>
  </si>
  <si>
    <t>T228</t>
  </si>
  <si>
    <t>T300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</si>
</sst>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66FF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4472C4"/>
      <name val="Calibri"/>
      <family val="2"/>
      <scheme val="minor"/>
    </font>
    <font>
      <b/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61616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57171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194">
    <xf numFmtId="0" fontId="0" fillId="0" borderId="0" xfId="0"/>
    <xf numFmtId="0" fontId="4" fillId="0" borderId="0" xfId="1" applyFont="1"/>
    <xf numFmtId="14" fontId="3" fillId="0" borderId="0" xfId="1" applyNumberFormat="1"/>
    <xf numFmtId="0" fontId="5" fillId="0" borderId="0" xfId="1" applyFont="1"/>
    <xf numFmtId="0" fontId="1" fillId="0" borderId="0" xfId="1" applyFont="1"/>
    <xf numFmtId="0" fontId="0" fillId="0" borderId="0" xfId="1" applyFont="1"/>
    <xf numFmtId="0" fontId="3" fillId="0" borderId="5" xfId="1" applyBorder="1"/>
    <xf numFmtId="0" fontId="3" fillId="0" borderId="1" xfId="1" applyBorder="1"/>
    <xf numFmtId="0" fontId="3" fillId="0" borderId="3" xfId="1" applyBorder="1"/>
    <xf numFmtId="0" fontId="3" fillId="0" borderId="9" xfId="1" applyBorder="1"/>
    <xf numFmtId="0" fontId="3" fillId="0" borderId="0" xfId="1"/>
    <xf numFmtId="0" fontId="3" fillId="2" borderId="4" xfId="1" applyFill="1" applyBorder="1"/>
    <xf numFmtId="0" fontId="0" fillId="0" borderId="1" xfId="0" applyBorder="1"/>
    <xf numFmtId="0" fontId="6" fillId="0" borderId="1" xfId="1" applyFont="1" applyBorder="1"/>
    <xf numFmtId="14" fontId="0" fillId="0" borderId="0" xfId="0" applyNumberFormat="1"/>
    <xf numFmtId="0" fontId="2" fillId="0" borderId="1" xfId="0" applyFont="1" applyBorder="1"/>
    <xf numFmtId="0" fontId="7" fillId="0" borderId="0" xfId="0" applyFont="1"/>
    <xf numFmtId="0" fontId="0" fillId="0" borderId="0" xfId="1" applyFont="1" applyAlignment="1">
      <alignment horizontal="right"/>
    </xf>
    <xf numFmtId="0" fontId="0" fillId="0" borderId="0" xfId="0" applyAlignment="1">
      <alignment horizontal="left"/>
    </xf>
    <xf numFmtId="0" fontId="3" fillId="0" borderId="0" xfId="1" applyAlignment="1">
      <alignment horizontal="right"/>
    </xf>
    <xf numFmtId="0" fontId="3" fillId="2" borderId="1" xfId="1" applyFill="1" applyBorder="1"/>
    <xf numFmtId="0" fontId="3" fillId="2" borderId="6" xfId="1" applyFill="1" applyBorder="1"/>
    <xf numFmtId="0" fontId="3" fillId="2" borderId="8" xfId="1" applyFill="1" applyBorder="1"/>
    <xf numFmtId="0" fontId="3" fillId="0" borderId="7" xfId="1" applyBorder="1"/>
    <xf numFmtId="0" fontId="0" fillId="0" borderId="1" xfId="1" applyFont="1" applyBorder="1" applyAlignment="1">
      <alignment horizontal="right"/>
    </xf>
    <xf numFmtId="0" fontId="3" fillId="0" borderId="1" xfId="1" applyBorder="1" applyAlignment="1">
      <alignment horizontal="right"/>
    </xf>
    <xf numFmtId="14" fontId="8" fillId="0" borderId="0" xfId="1" applyNumberFormat="1" applyFont="1"/>
    <xf numFmtId="0" fontId="8" fillId="0" borderId="0" xfId="1" applyFont="1"/>
    <xf numFmtId="0" fontId="9" fillId="3" borderId="0" xfId="1" applyFont="1" applyFill="1"/>
    <xf numFmtId="0" fontId="9" fillId="0" borderId="0" xfId="1" applyFont="1"/>
    <xf numFmtId="0" fontId="9" fillId="0" borderId="1" xfId="1" applyFont="1" applyBorder="1" applyAlignment="1">
      <alignment wrapText="1"/>
    </xf>
    <xf numFmtId="0" fontId="9" fillId="0" borderId="1" xfId="1" applyFont="1" applyBorder="1"/>
    <xf numFmtId="0" fontId="9" fillId="0" borderId="6" xfId="1" applyFont="1" applyBorder="1"/>
    <xf numFmtId="0" fontId="9" fillId="0" borderId="2" xfId="1" applyFont="1" applyBorder="1"/>
    <xf numFmtId="0" fontId="9" fillId="0" borderId="5" xfId="1" applyFont="1" applyBorder="1"/>
    <xf numFmtId="0" fontId="10" fillId="0" borderId="1" xfId="1" applyFont="1" applyBorder="1"/>
    <xf numFmtId="0" fontId="8" fillId="3" borderId="0" xfId="1" applyFont="1" applyFill="1" applyAlignment="1">
      <alignment wrapText="1"/>
    </xf>
    <xf numFmtId="0" fontId="8" fillId="0" borderId="0" xfId="1" applyFont="1" applyAlignment="1">
      <alignment wrapText="1"/>
    </xf>
    <xf numFmtId="0" fontId="7" fillId="0" borderId="0" xfId="0" applyFont="1" applyAlignment="1">
      <alignment wrapText="1"/>
    </xf>
    <xf numFmtId="0" fontId="0" fillId="4" borderId="0" xfId="0" applyFill="1"/>
    <xf numFmtId="0" fontId="3" fillId="4" borderId="1" xfId="1" applyFill="1" applyBorder="1"/>
    <xf numFmtId="0" fontId="3" fillId="4" borderId="3" xfId="1" applyFill="1" applyBorder="1"/>
    <xf numFmtId="0" fontId="3" fillId="5" borderId="1" xfId="1" applyFill="1" applyBorder="1"/>
    <xf numFmtId="0" fontId="3" fillId="6" borderId="1" xfId="1" applyFill="1" applyBorder="1"/>
    <xf numFmtId="0" fontId="0" fillId="6" borderId="0" xfId="0" applyFill="1"/>
    <xf numFmtId="0" fontId="0" fillId="5" borderId="0" xfId="0" applyFill="1"/>
    <xf numFmtId="0" fontId="0" fillId="7" borderId="0" xfId="0" applyFill="1"/>
    <xf numFmtId="0" fontId="3" fillId="7" borderId="1" xfId="1" applyFill="1" applyBorder="1"/>
    <xf numFmtId="0" fontId="2" fillId="0" borderId="0" xfId="0" applyFont="1"/>
    <xf numFmtId="0" fontId="0" fillId="5" borderId="1" xfId="0" applyFill="1" applyBorder="1"/>
    <xf numFmtId="0" fontId="0" fillId="8" borderId="1" xfId="1" applyFont="1" applyFill="1" applyBorder="1" applyAlignment="1">
      <alignment horizontal="right"/>
    </xf>
    <xf numFmtId="0" fontId="3" fillId="8" borderId="1" xfId="1" applyFill="1" applyBorder="1" applyAlignment="1">
      <alignment horizontal="right"/>
    </xf>
    <xf numFmtId="0" fontId="0" fillId="9" borderId="1" xfId="1" applyFont="1" applyFill="1" applyBorder="1" applyAlignment="1">
      <alignment horizontal="right"/>
    </xf>
    <xf numFmtId="0" fontId="11" fillId="0" borderId="1" xfId="0" applyFont="1" applyBorder="1"/>
    <xf numFmtId="0" fontId="12" fillId="0" borderId="1" xfId="1" applyFont="1" applyBorder="1" applyAlignment="1">
      <alignment horizontal="right"/>
    </xf>
    <xf numFmtId="0" fontId="12" fillId="0" borderId="1" xfId="1" applyFont="1" applyBorder="1" applyAlignment="1">
      <alignment wrapText="1"/>
    </xf>
    <xf numFmtId="0" fontId="13" fillId="0" borderId="1" xfId="1" applyFont="1" applyBorder="1" applyAlignment="1">
      <alignment horizontal="right"/>
    </xf>
    <xf numFmtId="0" fontId="13" fillId="0" borderId="1" xfId="1" applyFont="1" applyBorder="1" applyAlignment="1">
      <alignment wrapText="1"/>
    </xf>
    <xf numFmtId="0" fontId="14" fillId="0" borderId="5" xfId="1" applyFont="1" applyBorder="1"/>
    <xf numFmtId="0" fontId="0" fillId="10" borderId="0" xfId="0" applyFill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0" fillId="11" borderId="0" xfId="0" applyFill="1"/>
    <xf numFmtId="0" fontId="3" fillId="4" borderId="0" xfId="1" applyFill="1"/>
    <xf numFmtId="0" fontId="3" fillId="5" borderId="0" xfId="1" applyFill="1"/>
    <xf numFmtId="0" fontId="3" fillId="12" borderId="0" xfId="1" applyFill="1"/>
    <xf numFmtId="0" fontId="3" fillId="12" borderId="1" xfId="1" applyFill="1" applyBorder="1"/>
    <xf numFmtId="0" fontId="3" fillId="13" borderId="0" xfId="1" applyFill="1"/>
    <xf numFmtId="0" fontId="3" fillId="13" borderId="1" xfId="1" applyFill="1" applyBorder="1"/>
    <xf numFmtId="0" fontId="3" fillId="14" borderId="0" xfId="1" applyFill="1"/>
    <xf numFmtId="0" fontId="3" fillId="14" borderId="1" xfId="1" applyFill="1" applyBorder="1"/>
    <xf numFmtId="0" fontId="3" fillId="15" borderId="0" xfId="1" applyFill="1"/>
    <xf numFmtId="0" fontId="3" fillId="15" borderId="1" xfId="1" applyFill="1" applyBorder="1"/>
    <xf numFmtId="14" fontId="3" fillId="16" borderId="0" xfId="1" applyNumberFormat="1" applyFill="1"/>
    <xf numFmtId="0" fontId="15" fillId="16" borderId="0" xfId="1" applyFont="1" applyFill="1"/>
    <xf numFmtId="0" fontId="0" fillId="17" borderId="0" xfId="0" applyFill="1"/>
    <xf numFmtId="0" fontId="3" fillId="17" borderId="3" xfId="1" applyFill="1" applyBorder="1"/>
    <xf numFmtId="0" fontId="3" fillId="14" borderId="3" xfId="1" applyFill="1" applyBorder="1"/>
    <xf numFmtId="0" fontId="3" fillId="0" borderId="6" xfId="1" applyBorder="1"/>
    <xf numFmtId="0" fontId="3" fillId="0" borderId="8" xfId="1" applyBorder="1"/>
    <xf numFmtId="0" fontId="3" fillId="0" borderId="4" xfId="1" applyBorder="1"/>
    <xf numFmtId="0" fontId="3" fillId="18" borderId="5" xfId="1" applyFill="1" applyBorder="1"/>
    <xf numFmtId="0" fontId="3" fillId="18" borderId="7" xfId="1" applyFill="1" applyBorder="1"/>
    <xf numFmtId="0" fontId="3" fillId="18" borderId="1" xfId="1" applyFill="1" applyBorder="1"/>
    <xf numFmtId="0" fontId="3" fillId="18" borderId="9" xfId="1" applyFill="1" applyBorder="1"/>
    <xf numFmtId="0" fontId="3" fillId="19" borderId="5" xfId="1" applyFill="1" applyBorder="1"/>
    <xf numFmtId="0" fontId="3" fillId="19" borderId="7" xfId="1" applyFill="1" applyBorder="1"/>
    <xf numFmtId="0" fontId="3" fillId="19" borderId="1" xfId="1" applyFill="1" applyBorder="1"/>
    <xf numFmtId="0" fontId="3" fillId="19" borderId="9" xfId="1" applyFill="1" applyBorder="1"/>
    <xf numFmtId="0" fontId="3" fillId="20" borderId="1" xfId="1" applyFill="1" applyBorder="1"/>
    <xf numFmtId="0" fontId="0" fillId="16" borderId="1" xfId="0" applyFill="1" applyBorder="1"/>
    <xf numFmtId="0" fontId="3" fillId="16" borderId="1" xfId="1" applyFill="1" applyBorder="1"/>
    <xf numFmtId="0" fontId="3" fillId="16" borderId="3" xfId="1" applyFill="1" applyBorder="1"/>
    <xf numFmtId="0" fontId="0" fillId="16" borderId="0" xfId="0" applyFill="1"/>
    <xf numFmtId="0" fontId="6" fillId="0" borderId="0" xfId="0" applyFont="1" applyAlignment="1">
      <alignment wrapText="1"/>
    </xf>
    <xf numFmtId="0" fontId="3" fillId="2" borderId="5" xfId="1" applyFill="1" applyBorder="1"/>
    <xf numFmtId="0" fontId="3" fillId="2" borderId="7" xfId="1" applyFill="1" applyBorder="1"/>
    <xf numFmtId="0" fontId="3" fillId="2" borderId="9" xfId="1" applyFill="1" applyBorder="1"/>
    <xf numFmtId="0" fontId="6" fillId="0" borderId="1" xfId="0" applyFont="1" applyBorder="1" applyAlignment="1">
      <alignment wrapText="1"/>
    </xf>
    <xf numFmtId="0" fontId="0" fillId="12" borderId="0" xfId="0" applyFill="1"/>
    <xf numFmtId="0" fontId="0" fillId="13" borderId="0" xfId="0" applyFill="1"/>
    <xf numFmtId="0" fontId="0" fillId="0" borderId="10" xfId="0" applyBorder="1"/>
    <xf numFmtId="0" fontId="0" fillId="21" borderId="0" xfId="0" applyFill="1"/>
    <xf numFmtId="0" fontId="3" fillId="21" borderId="3" xfId="1" applyFill="1" applyBorder="1"/>
    <xf numFmtId="0" fontId="0" fillId="4" borderId="3" xfId="1" applyFont="1" applyFill="1" applyBorder="1"/>
    <xf numFmtId="0" fontId="3" fillId="17" borderId="1" xfId="1" applyFill="1" applyBorder="1"/>
    <xf numFmtId="0" fontId="0" fillId="17" borderId="1" xfId="0" applyFill="1" applyBorder="1"/>
    <xf numFmtId="0" fontId="3" fillId="5" borderId="3" xfId="1" applyFill="1" applyBorder="1"/>
    <xf numFmtId="0" fontId="0" fillId="0" borderId="0" xfId="0" applyAlignment="1">
      <alignment horizontal="right"/>
    </xf>
    <xf numFmtId="0" fontId="3" fillId="0" borderId="10" xfId="1" applyBorder="1"/>
    <xf numFmtId="0" fontId="16" fillId="0" borderId="0" xfId="0" applyFont="1" applyAlignment="1">
      <alignment wrapText="1"/>
    </xf>
    <xf numFmtId="0" fontId="15" fillId="0" borderId="0" xfId="1" applyFont="1"/>
    <xf numFmtId="0" fontId="0" fillId="0" borderId="10" xfId="0" applyBorder="1" applyAlignment="1">
      <alignment wrapText="1"/>
    </xf>
    <xf numFmtId="0" fontId="6" fillId="0" borderId="10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9" fillId="0" borderId="1" xfId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9" fillId="22" borderId="1" xfId="1" applyFont="1" applyFill="1" applyBorder="1" applyAlignment="1">
      <alignment vertical="center"/>
    </xf>
    <xf numFmtId="0" fontId="7" fillId="22" borderId="1" xfId="0" applyFont="1" applyFill="1" applyBorder="1"/>
    <xf numFmtId="0" fontId="9" fillId="22" borderId="1" xfId="0" applyFont="1" applyFill="1" applyBorder="1"/>
    <xf numFmtId="0" fontId="0" fillId="23" borderId="0" xfId="0" applyFill="1"/>
    <xf numFmtId="0" fontId="17" fillId="24" borderId="0" xfId="1" applyFont="1" applyFill="1"/>
    <xf numFmtId="0" fontId="3" fillId="24" borderId="1" xfId="1" applyFill="1" applyBorder="1"/>
    <xf numFmtId="0" fontId="3" fillId="13" borderId="3" xfId="1" applyFill="1" applyBorder="1"/>
    <xf numFmtId="0" fontId="3" fillId="25" borderId="0" xfId="1" applyFill="1"/>
    <xf numFmtId="0" fontId="3" fillId="25" borderId="3" xfId="1" applyFill="1" applyBorder="1"/>
    <xf numFmtId="0" fontId="3" fillId="25" borderId="1" xfId="1" applyFill="1" applyBorder="1"/>
    <xf numFmtId="0" fontId="3" fillId="24" borderId="3" xfId="1" applyFill="1" applyBorder="1"/>
    <xf numFmtId="0" fontId="17" fillId="0" borderId="0" xfId="1" applyFont="1"/>
    <xf numFmtId="0" fontId="9" fillId="0" borderId="10" xfId="0" applyFont="1" applyBorder="1"/>
    <xf numFmtId="0" fontId="9" fillId="0" borderId="10" xfId="0" applyFont="1" applyBorder="1" applyAlignment="1">
      <alignment wrapText="1"/>
    </xf>
    <xf numFmtId="0" fontId="9" fillId="22" borderId="10" xfId="0" applyFont="1" applyFill="1" applyBorder="1"/>
    <xf numFmtId="0" fontId="7" fillId="22" borderId="1" xfId="0" applyFont="1" applyFill="1" applyBorder="1" applyAlignment="1">
      <alignment vertical="center"/>
    </xf>
    <xf numFmtId="0" fontId="9" fillId="22" borderId="10" xfId="0" applyFont="1" applyFill="1" applyBorder="1" applyAlignment="1">
      <alignment wrapText="1"/>
    </xf>
    <xf numFmtId="0" fontId="7" fillId="0" borderId="1" xfId="0" applyFont="1" applyBorder="1"/>
    <xf numFmtId="0" fontId="18" fillId="0" borderId="1" xfId="1" applyFont="1" applyBorder="1" applyAlignment="1">
      <alignment horizontal="right"/>
    </xf>
    <xf numFmtId="0" fontId="18" fillId="0" borderId="1" xfId="1" applyFont="1" applyBorder="1" applyAlignment="1">
      <alignment wrapText="1"/>
    </xf>
    <xf numFmtId="0" fontId="3" fillId="12" borderId="3" xfId="1" applyFill="1" applyBorder="1"/>
    <xf numFmtId="0" fontId="3" fillId="14" borderId="4" xfId="1" applyFill="1" applyBorder="1"/>
    <xf numFmtId="0" fontId="7" fillId="26" borderId="0" xfId="0" applyFont="1" applyFill="1" applyAlignment="1">
      <alignment vertical="center" wrapText="1"/>
    </xf>
    <xf numFmtId="0" fontId="7" fillId="27" borderId="0" xfId="0" applyFont="1" applyFill="1" applyAlignment="1">
      <alignment vertical="center" wrapText="1"/>
    </xf>
    <xf numFmtId="0" fontId="7" fillId="29" borderId="0" xfId="0" applyFont="1" applyFill="1" applyAlignment="1">
      <alignment horizontal="center" vertical="center"/>
    </xf>
    <xf numFmtId="0" fontId="2" fillId="0" borderId="0" xfId="1" applyFont="1"/>
    <xf numFmtId="0" fontId="3" fillId="0" borderId="11" xfId="1" applyBorder="1" applyAlignment="1">
      <alignment horizontal="left"/>
    </xf>
    <xf numFmtId="0" fontId="3" fillId="0" borderId="12" xfId="1" applyBorder="1" applyAlignment="1">
      <alignment horizontal="left"/>
    </xf>
    <xf numFmtId="0" fontId="0" fillId="0" borderId="13" xfId="0" applyBorder="1"/>
    <xf numFmtId="0" fontId="3" fillId="0" borderId="14" xfId="1" applyBorder="1"/>
    <xf numFmtId="0" fontId="3" fillId="0" borderId="1" xfId="1" applyBorder="1" applyAlignment="1">
      <alignment horizontal="left"/>
    </xf>
    <xf numFmtId="0" fontId="0" fillId="0" borderId="3" xfId="0" applyBorder="1"/>
    <xf numFmtId="0" fontId="3" fillId="0" borderId="6" xfId="1" applyBorder="1" applyAlignment="1">
      <alignment horizontal="left"/>
    </xf>
    <xf numFmtId="0" fontId="0" fillId="0" borderId="17" xfId="0" applyBorder="1"/>
    <xf numFmtId="0" fontId="3" fillId="0" borderId="18" xfId="1" applyBorder="1"/>
    <xf numFmtId="0" fontId="19" fillId="0" borderId="0" xfId="0" applyFont="1"/>
    <xf numFmtId="0" fontId="3" fillId="0" borderId="14" xfId="1" applyBorder="1" applyAlignment="1">
      <alignment horizontal="left"/>
    </xf>
    <xf numFmtId="0" fontId="0" fillId="0" borderId="14" xfId="0" applyBorder="1"/>
    <xf numFmtId="0" fontId="3" fillId="0" borderId="10" xfId="1" applyBorder="1" applyAlignment="1">
      <alignment horizontal="left"/>
    </xf>
    <xf numFmtId="0" fontId="3" fillId="0" borderId="22" xfId="1" applyBorder="1" applyAlignment="1">
      <alignment horizontal="left"/>
    </xf>
    <xf numFmtId="0" fontId="0" fillId="0" borderId="22" xfId="0" applyBorder="1"/>
    <xf numFmtId="0" fontId="3" fillId="0" borderId="23" xfId="1" applyBorder="1" applyAlignment="1">
      <alignment horizontal="left"/>
    </xf>
    <xf numFmtId="0" fontId="3" fillId="0" borderId="22" xfId="1" applyBorder="1"/>
    <xf numFmtId="0" fontId="3" fillId="0" borderId="23" xfId="1" applyBorder="1"/>
    <xf numFmtId="0" fontId="0" fillId="0" borderId="23" xfId="0" applyBorder="1"/>
    <xf numFmtId="0" fontId="0" fillId="0" borderId="18" xfId="0" applyBorder="1"/>
    <xf numFmtId="0" fontId="3" fillId="26" borderId="14" xfId="1" applyFill="1" applyBorder="1"/>
    <xf numFmtId="0" fontId="3" fillId="26" borderId="10" xfId="1" applyFill="1" applyBorder="1"/>
    <xf numFmtId="0" fontId="3" fillId="26" borderId="16" xfId="1" applyFill="1" applyBorder="1"/>
    <xf numFmtId="0" fontId="3" fillId="26" borderId="18" xfId="1" applyFill="1" applyBorder="1"/>
    <xf numFmtId="0" fontId="3" fillId="26" borderId="19" xfId="1" applyFill="1" applyBorder="1"/>
    <xf numFmtId="0" fontId="3" fillId="27" borderId="14" xfId="1" applyFill="1" applyBorder="1"/>
    <xf numFmtId="0" fontId="3" fillId="27" borderId="10" xfId="1" applyFill="1" applyBorder="1"/>
    <xf numFmtId="0" fontId="3" fillId="27" borderId="15" xfId="1" applyFill="1" applyBorder="1"/>
    <xf numFmtId="0" fontId="3" fillId="27" borderId="18" xfId="1" applyFill="1" applyBorder="1"/>
    <xf numFmtId="0" fontId="3" fillId="27" borderId="16" xfId="1" applyFill="1" applyBorder="1"/>
    <xf numFmtId="0" fontId="3" fillId="26" borderId="15" xfId="1" applyFill="1" applyBorder="1"/>
    <xf numFmtId="0" fontId="3" fillId="27" borderId="25" xfId="1" applyFill="1" applyBorder="1"/>
    <xf numFmtId="0" fontId="3" fillId="26" borderId="22" xfId="1" applyFill="1" applyBorder="1"/>
    <xf numFmtId="0" fontId="3" fillId="27" borderId="22" xfId="1" applyFill="1" applyBorder="1"/>
    <xf numFmtId="0" fontId="3" fillId="27" borderId="23" xfId="1" applyFill="1" applyBorder="1"/>
    <xf numFmtId="0" fontId="3" fillId="27" borderId="26" xfId="1" applyFill="1" applyBorder="1"/>
    <xf numFmtId="0" fontId="3" fillId="26" borderId="23" xfId="1" applyFill="1" applyBorder="1"/>
    <xf numFmtId="0" fontId="3" fillId="26" borderId="25" xfId="1" applyFill="1" applyBorder="1"/>
    <xf numFmtId="0" fontId="3" fillId="26" borderId="26" xfId="1" applyFill="1" applyBorder="1"/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7" fillId="28" borderId="0" xfId="0" applyFont="1" applyFill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textRotation="90"/>
    </xf>
    <xf numFmtId="0" fontId="4" fillId="0" borderId="21" xfId="0" applyFont="1" applyBorder="1" applyAlignment="1">
      <alignment horizontal="center" vertical="center" textRotation="90"/>
    </xf>
    <xf numFmtId="0" fontId="2" fillId="0" borderId="27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">
    <dxf>
      <fill>
        <patternFill patternType="solid">
          <fgColor rgb="FFED7D31"/>
          <bgColor rgb="FF000000"/>
        </patternFill>
      </fill>
    </dxf>
  </dxfs>
  <tableStyles count="0" defaultTableStyle="TableStyleMedium2" defaultPivotStyle="PivotStyleLight16"/>
  <colors>
    <mruColors>
      <color rgb="FF0099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07"/>
  <sheetViews>
    <sheetView topLeftCell="A83" workbookViewId="0">
      <selection activeCell="B92" sqref="B92:B107"/>
    </sheetView>
  </sheetViews>
  <sheetFormatPr defaultRowHeight="14.45"/>
  <cols>
    <col min="3" max="3" width="13.85546875" bestFit="1" customWidth="1"/>
    <col min="5" max="5" width="11.28515625" bestFit="1" customWidth="1"/>
    <col min="6" max="6" width="24" customWidth="1"/>
    <col min="8" max="8" width="22.140625" bestFit="1" customWidth="1"/>
    <col min="9" max="9" width="13.7109375" bestFit="1" customWidth="1"/>
  </cols>
  <sheetData>
    <row r="2" spans="1:14">
      <c r="A2" s="3" t="s">
        <v>0</v>
      </c>
      <c r="B2" s="3" t="s">
        <v>1</v>
      </c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5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0"/>
      <c r="I3" t="s">
        <v>9</v>
      </c>
      <c r="M3" s="10"/>
      <c r="N3" s="10"/>
    </row>
    <row r="4" spans="1:14">
      <c r="A4" s="10">
        <v>1</v>
      </c>
      <c r="B4" s="17" t="s">
        <v>10</v>
      </c>
      <c r="C4" s="2">
        <v>44213</v>
      </c>
      <c r="D4" s="5" t="s">
        <v>11</v>
      </c>
      <c r="E4">
        <v>334</v>
      </c>
      <c r="F4" t="s">
        <v>12</v>
      </c>
      <c r="G4" t="s">
        <v>13</v>
      </c>
      <c r="I4" t="s">
        <v>14</v>
      </c>
      <c r="J4" t="s">
        <v>15</v>
      </c>
      <c r="K4" t="s">
        <v>16</v>
      </c>
      <c r="L4" t="s">
        <v>17</v>
      </c>
      <c r="M4" s="10"/>
      <c r="N4" s="10"/>
    </row>
    <row r="5" spans="1:14">
      <c r="A5" s="10">
        <v>2</v>
      </c>
      <c r="B5" s="17" t="s">
        <v>18</v>
      </c>
      <c r="C5" s="2">
        <v>44213</v>
      </c>
      <c r="D5" s="4" t="s">
        <v>11</v>
      </c>
      <c r="E5">
        <v>235</v>
      </c>
      <c r="F5" t="s">
        <v>12</v>
      </c>
      <c r="G5" t="s">
        <v>13</v>
      </c>
      <c r="I5" t="s">
        <v>19</v>
      </c>
      <c r="J5" t="s">
        <v>20</v>
      </c>
      <c r="K5" t="s">
        <v>16</v>
      </c>
      <c r="L5" t="s">
        <v>17</v>
      </c>
      <c r="M5" s="10"/>
      <c r="N5" s="10"/>
    </row>
    <row r="6" spans="1:14">
      <c r="A6" s="10">
        <v>3</v>
      </c>
      <c r="B6" s="17">
        <v>544</v>
      </c>
      <c r="C6" s="2">
        <v>44213</v>
      </c>
      <c r="D6" s="5" t="s">
        <v>11</v>
      </c>
      <c r="E6">
        <v>277</v>
      </c>
      <c r="F6" t="s">
        <v>12</v>
      </c>
      <c r="G6" t="s">
        <v>13</v>
      </c>
      <c r="I6" t="s">
        <v>21</v>
      </c>
      <c r="J6" t="s">
        <v>22</v>
      </c>
      <c r="K6" t="s">
        <v>16</v>
      </c>
      <c r="L6" t="s">
        <v>17</v>
      </c>
      <c r="M6" s="10"/>
      <c r="N6" s="10"/>
    </row>
    <row r="7" spans="1:14">
      <c r="A7" s="10">
        <v>4</v>
      </c>
      <c r="B7" s="19">
        <v>545</v>
      </c>
      <c r="C7" s="2">
        <v>44213</v>
      </c>
      <c r="D7" s="5" t="s">
        <v>11</v>
      </c>
      <c r="E7">
        <v>272</v>
      </c>
      <c r="F7" t="s">
        <v>12</v>
      </c>
      <c r="G7" t="s">
        <v>13</v>
      </c>
      <c r="I7" t="s">
        <v>23</v>
      </c>
      <c r="K7" t="s">
        <v>24</v>
      </c>
      <c r="L7" t="s">
        <v>17</v>
      </c>
      <c r="M7" s="10"/>
      <c r="N7" s="10"/>
    </row>
    <row r="8" spans="1:14">
      <c r="A8" s="10">
        <v>5</v>
      </c>
      <c r="B8" s="17" t="s">
        <v>25</v>
      </c>
      <c r="C8" s="2">
        <v>44213</v>
      </c>
      <c r="D8" s="4" t="s">
        <v>11</v>
      </c>
      <c r="E8">
        <v>302</v>
      </c>
      <c r="F8" t="s">
        <v>12</v>
      </c>
      <c r="G8" t="s">
        <v>13</v>
      </c>
      <c r="I8" t="s">
        <v>26</v>
      </c>
      <c r="J8" t="s">
        <v>27</v>
      </c>
      <c r="K8" t="s">
        <v>28</v>
      </c>
      <c r="L8" t="s">
        <v>29</v>
      </c>
      <c r="M8" s="10"/>
      <c r="N8" s="10"/>
    </row>
    <row r="9" spans="1:14">
      <c r="A9" s="10">
        <v>6</v>
      </c>
      <c r="B9" s="17" t="s">
        <v>30</v>
      </c>
      <c r="C9" s="2">
        <v>44213</v>
      </c>
      <c r="D9" s="5" t="s">
        <v>11</v>
      </c>
      <c r="E9">
        <v>275</v>
      </c>
      <c r="F9" t="s">
        <v>12</v>
      </c>
      <c r="G9" t="s">
        <v>13</v>
      </c>
      <c r="I9" t="s">
        <v>31</v>
      </c>
      <c r="J9" t="s">
        <v>32</v>
      </c>
      <c r="K9" t="s">
        <v>28</v>
      </c>
      <c r="L9" t="s">
        <v>17</v>
      </c>
      <c r="M9" s="10"/>
      <c r="N9" s="10"/>
    </row>
    <row r="10" spans="1:14">
      <c r="A10" s="10">
        <v>7</v>
      </c>
      <c r="B10" s="17" t="s">
        <v>33</v>
      </c>
      <c r="C10" s="14">
        <v>44214</v>
      </c>
      <c r="D10" s="5" t="s">
        <v>34</v>
      </c>
      <c r="E10">
        <v>288</v>
      </c>
      <c r="F10" t="s">
        <v>35</v>
      </c>
      <c r="G10" t="s">
        <v>36</v>
      </c>
      <c r="I10" t="s">
        <v>37</v>
      </c>
      <c r="K10" t="s">
        <v>38</v>
      </c>
      <c r="L10" t="s">
        <v>17</v>
      </c>
      <c r="M10" s="10"/>
      <c r="N10" s="10"/>
    </row>
    <row r="11" spans="1:14">
      <c r="A11" s="10">
        <v>8</v>
      </c>
      <c r="B11" s="17" t="s">
        <v>39</v>
      </c>
      <c r="C11" s="14">
        <v>44214</v>
      </c>
      <c r="D11" s="5" t="s">
        <v>34</v>
      </c>
      <c r="E11">
        <v>272</v>
      </c>
      <c r="F11" t="s">
        <v>35</v>
      </c>
      <c r="G11" t="s">
        <v>36</v>
      </c>
      <c r="I11" t="s">
        <v>40</v>
      </c>
      <c r="J11" t="s">
        <v>41</v>
      </c>
      <c r="K11" t="s">
        <v>42</v>
      </c>
      <c r="L11" t="s">
        <v>17</v>
      </c>
      <c r="M11" s="10"/>
      <c r="N11" s="10"/>
    </row>
    <row r="12" spans="1:14">
      <c r="A12" s="10">
        <v>9</v>
      </c>
      <c r="B12" s="19">
        <v>546</v>
      </c>
      <c r="C12" s="14">
        <v>44214</v>
      </c>
      <c r="D12" s="5" t="s">
        <v>34</v>
      </c>
      <c r="E12">
        <v>284</v>
      </c>
      <c r="F12" t="s">
        <v>43</v>
      </c>
      <c r="I12" t="s">
        <v>44</v>
      </c>
      <c r="K12" t="s">
        <v>45</v>
      </c>
      <c r="L12" t="s">
        <v>29</v>
      </c>
      <c r="M12" s="10"/>
      <c r="N12" s="10"/>
    </row>
    <row r="13" spans="1:14">
      <c r="A13" s="10">
        <v>10</v>
      </c>
      <c r="B13" s="17" t="s">
        <v>46</v>
      </c>
      <c r="C13" s="14">
        <v>44214</v>
      </c>
      <c r="D13" s="5" t="s">
        <v>34</v>
      </c>
      <c r="E13">
        <v>260</v>
      </c>
      <c r="F13" t="s">
        <v>43</v>
      </c>
      <c r="I13" t="s">
        <v>47</v>
      </c>
      <c r="J13" t="s">
        <v>48</v>
      </c>
      <c r="K13" t="s">
        <v>49</v>
      </c>
      <c r="L13" t="s">
        <v>17</v>
      </c>
      <c r="M13" s="10"/>
      <c r="N13" s="10"/>
    </row>
    <row r="14" spans="1:14">
      <c r="A14" s="10">
        <v>11</v>
      </c>
      <c r="B14" s="17" t="s">
        <v>50</v>
      </c>
      <c r="C14" s="14">
        <v>44214</v>
      </c>
      <c r="D14" s="5" t="s">
        <v>34</v>
      </c>
      <c r="E14">
        <v>297</v>
      </c>
      <c r="F14" t="s">
        <v>43</v>
      </c>
      <c r="K14" s="10"/>
      <c r="L14" s="10"/>
      <c r="M14" s="10"/>
      <c r="N14" s="10"/>
    </row>
    <row r="15" spans="1:14">
      <c r="A15" s="10">
        <v>12</v>
      </c>
      <c r="B15" s="17" t="s">
        <v>51</v>
      </c>
      <c r="C15" s="14">
        <v>44214</v>
      </c>
      <c r="D15" s="5" t="s">
        <v>34</v>
      </c>
      <c r="E15">
        <v>432</v>
      </c>
      <c r="F15" t="s">
        <v>43</v>
      </c>
      <c r="G15" t="s">
        <v>36</v>
      </c>
      <c r="I15" s="10"/>
      <c r="J15" s="10"/>
      <c r="K15" s="10"/>
      <c r="L15" s="10"/>
      <c r="M15" s="10"/>
      <c r="N15" s="10"/>
    </row>
    <row r="16" spans="1:14">
      <c r="A16" s="10">
        <v>13</v>
      </c>
      <c r="B16" s="17" t="s">
        <v>52</v>
      </c>
      <c r="C16" s="14">
        <v>44214</v>
      </c>
      <c r="D16" s="5" t="s">
        <v>34</v>
      </c>
      <c r="E16">
        <v>481</v>
      </c>
      <c r="F16" t="s">
        <v>43</v>
      </c>
      <c r="G16" t="s">
        <v>36</v>
      </c>
      <c r="I16" s="10"/>
      <c r="J16" s="10"/>
    </row>
    <row r="17" spans="1:10">
      <c r="A17" s="10">
        <v>14</v>
      </c>
      <c r="B17" s="17" t="s">
        <v>53</v>
      </c>
      <c r="C17" s="14">
        <v>44213</v>
      </c>
      <c r="D17" s="5" t="s">
        <v>11</v>
      </c>
      <c r="E17">
        <v>424</v>
      </c>
      <c r="F17" t="s">
        <v>35</v>
      </c>
      <c r="G17" t="s">
        <v>36</v>
      </c>
      <c r="I17" s="10"/>
      <c r="J17" s="10"/>
    </row>
    <row r="18" spans="1:10">
      <c r="A18" s="10">
        <v>15</v>
      </c>
      <c r="B18" s="17" t="s">
        <v>54</v>
      </c>
      <c r="C18" s="14">
        <v>44213</v>
      </c>
      <c r="D18" s="5" t="s">
        <v>11</v>
      </c>
      <c r="E18">
        <v>432</v>
      </c>
      <c r="F18" t="s">
        <v>12</v>
      </c>
      <c r="G18" t="s">
        <v>13</v>
      </c>
      <c r="I18" s="10"/>
      <c r="J18" s="10"/>
    </row>
    <row r="19" spans="1:10">
      <c r="A19" s="10">
        <v>16</v>
      </c>
      <c r="B19" s="17" t="s">
        <v>55</v>
      </c>
      <c r="C19" s="2">
        <v>44213</v>
      </c>
      <c r="D19" s="5" t="s">
        <v>11</v>
      </c>
      <c r="E19" s="10">
        <v>437</v>
      </c>
      <c r="F19" t="s">
        <v>12</v>
      </c>
      <c r="G19" s="5" t="s">
        <v>13</v>
      </c>
    </row>
    <row r="20" spans="1:10">
      <c r="A20" s="10"/>
      <c r="B20" s="10"/>
      <c r="C20" s="10"/>
      <c r="D20" s="10"/>
      <c r="E20" s="10"/>
      <c r="F20" s="10"/>
    </row>
    <row r="21" spans="1:10">
      <c r="A21" s="10"/>
      <c r="B21" s="10"/>
      <c r="C21" s="10"/>
      <c r="D21" s="10"/>
      <c r="E21" s="10"/>
      <c r="F21" s="10"/>
    </row>
    <row r="22" spans="1:10">
      <c r="A22" s="10"/>
      <c r="B22" s="10"/>
      <c r="C22" s="10"/>
      <c r="D22" s="10"/>
      <c r="E22" s="10"/>
      <c r="F22" s="10"/>
    </row>
    <row r="23" spans="1:10">
      <c r="A23" s="3" t="s">
        <v>0</v>
      </c>
      <c r="B23" s="3" t="s">
        <v>56</v>
      </c>
      <c r="E23" s="10"/>
      <c r="F23" s="10"/>
      <c r="G23" s="10"/>
      <c r="H23" s="10"/>
      <c r="I23" s="10"/>
    </row>
    <row r="24" spans="1:10" ht="15.6">
      <c r="A24" s="1" t="s">
        <v>2</v>
      </c>
      <c r="B24" s="1" t="s">
        <v>3</v>
      </c>
      <c r="C24" s="1" t="s">
        <v>4</v>
      </c>
      <c r="D24" s="1" t="s">
        <v>5</v>
      </c>
      <c r="E24" s="1" t="s">
        <v>6</v>
      </c>
      <c r="F24" s="1" t="s">
        <v>7</v>
      </c>
      <c r="G24" s="1" t="s">
        <v>8</v>
      </c>
      <c r="H24" s="10"/>
      <c r="I24" t="s">
        <v>9</v>
      </c>
    </row>
    <row r="25" spans="1:10">
      <c r="A25">
        <v>1</v>
      </c>
      <c r="B25" t="s">
        <v>57</v>
      </c>
      <c r="C25" s="14">
        <v>44255</v>
      </c>
      <c r="D25" t="s">
        <v>11</v>
      </c>
      <c r="E25">
        <v>440</v>
      </c>
      <c r="F25" t="s">
        <v>43</v>
      </c>
      <c r="I25" t="s">
        <v>58</v>
      </c>
      <c r="J25" t="s">
        <v>59</v>
      </c>
    </row>
    <row r="26" spans="1:10">
      <c r="A26">
        <v>2</v>
      </c>
      <c r="B26" t="s">
        <v>60</v>
      </c>
      <c r="C26" s="14">
        <v>44255</v>
      </c>
      <c r="D26" t="s">
        <v>11</v>
      </c>
      <c r="E26">
        <v>443</v>
      </c>
      <c r="F26" t="s">
        <v>43</v>
      </c>
      <c r="I26" t="s">
        <v>61</v>
      </c>
      <c r="J26" t="s">
        <v>62</v>
      </c>
    </row>
    <row r="27" spans="1:10">
      <c r="A27">
        <v>3</v>
      </c>
      <c r="B27" t="s">
        <v>63</v>
      </c>
      <c r="C27" s="14">
        <v>44255</v>
      </c>
      <c r="D27" t="s">
        <v>11</v>
      </c>
      <c r="E27">
        <v>407</v>
      </c>
      <c r="F27" t="s">
        <v>43</v>
      </c>
      <c r="I27" t="s">
        <v>64</v>
      </c>
      <c r="J27" t="s">
        <v>65</v>
      </c>
    </row>
    <row r="28" spans="1:10">
      <c r="A28">
        <v>4</v>
      </c>
      <c r="B28" t="s">
        <v>66</v>
      </c>
      <c r="C28" s="14">
        <v>44255</v>
      </c>
      <c r="D28" t="s">
        <v>11</v>
      </c>
      <c r="E28">
        <v>431</v>
      </c>
      <c r="F28" t="s">
        <v>43</v>
      </c>
      <c r="I28" t="s">
        <v>67</v>
      </c>
      <c r="J28" t="s">
        <v>68</v>
      </c>
    </row>
    <row r="29" spans="1:10">
      <c r="A29">
        <v>5</v>
      </c>
      <c r="B29" t="s">
        <v>69</v>
      </c>
      <c r="C29" s="14">
        <v>44255</v>
      </c>
      <c r="D29" t="s">
        <v>11</v>
      </c>
      <c r="E29">
        <v>379</v>
      </c>
      <c r="F29" t="s">
        <v>35</v>
      </c>
      <c r="I29" t="s">
        <v>70</v>
      </c>
      <c r="J29" t="s">
        <v>71</v>
      </c>
    </row>
    <row r="30" spans="1:10">
      <c r="A30">
        <v>6</v>
      </c>
      <c r="B30" t="s">
        <v>72</v>
      </c>
      <c r="C30" s="14">
        <v>44255</v>
      </c>
      <c r="D30" t="s">
        <v>11</v>
      </c>
      <c r="E30">
        <v>398</v>
      </c>
      <c r="F30" t="s">
        <v>35</v>
      </c>
      <c r="I30" t="s">
        <v>73</v>
      </c>
      <c r="J30" t="s">
        <v>74</v>
      </c>
    </row>
    <row r="31" spans="1:10">
      <c r="A31">
        <v>7</v>
      </c>
      <c r="B31" t="s">
        <v>75</v>
      </c>
      <c r="C31" s="14">
        <v>44255</v>
      </c>
      <c r="D31" t="s">
        <v>11</v>
      </c>
      <c r="E31">
        <v>325</v>
      </c>
      <c r="F31" t="s">
        <v>43</v>
      </c>
      <c r="I31" t="s">
        <v>76</v>
      </c>
      <c r="J31" t="s">
        <v>77</v>
      </c>
    </row>
    <row r="32" spans="1:10">
      <c r="A32">
        <v>8</v>
      </c>
      <c r="B32" t="s">
        <v>78</v>
      </c>
      <c r="C32" s="14">
        <v>44255</v>
      </c>
      <c r="D32" t="s">
        <v>11</v>
      </c>
      <c r="E32">
        <v>336</v>
      </c>
      <c r="F32" t="s">
        <v>43</v>
      </c>
      <c r="I32" t="s">
        <v>79</v>
      </c>
      <c r="J32" t="s">
        <v>80</v>
      </c>
    </row>
    <row r="33" spans="1:10">
      <c r="A33">
        <v>9</v>
      </c>
      <c r="B33" t="s">
        <v>81</v>
      </c>
      <c r="C33" s="14">
        <v>44255</v>
      </c>
      <c r="D33" t="s">
        <v>11</v>
      </c>
      <c r="E33">
        <v>324</v>
      </c>
      <c r="F33" t="s">
        <v>43</v>
      </c>
      <c r="I33" t="s">
        <v>82</v>
      </c>
      <c r="J33" t="s">
        <v>83</v>
      </c>
    </row>
    <row r="34" spans="1:10">
      <c r="A34">
        <v>10</v>
      </c>
      <c r="B34" t="s">
        <v>84</v>
      </c>
      <c r="C34" s="14">
        <v>44255</v>
      </c>
      <c r="D34" t="s">
        <v>11</v>
      </c>
      <c r="E34">
        <v>333</v>
      </c>
      <c r="F34" t="s">
        <v>43</v>
      </c>
      <c r="I34" t="s">
        <v>85</v>
      </c>
      <c r="J34" t="s">
        <v>83</v>
      </c>
    </row>
    <row r="35" spans="1:10">
      <c r="A35">
        <v>11</v>
      </c>
      <c r="B35" t="s">
        <v>86</v>
      </c>
      <c r="C35" s="14">
        <v>44255</v>
      </c>
      <c r="D35" t="s">
        <v>11</v>
      </c>
      <c r="E35">
        <v>349</v>
      </c>
      <c r="F35" t="s">
        <v>35</v>
      </c>
    </row>
    <row r="36" spans="1:10">
      <c r="A36">
        <v>12</v>
      </c>
      <c r="B36" t="s">
        <v>87</v>
      </c>
      <c r="C36" s="14">
        <v>44255</v>
      </c>
      <c r="D36" t="s">
        <v>11</v>
      </c>
      <c r="E36">
        <v>342</v>
      </c>
      <c r="F36" t="s">
        <v>35</v>
      </c>
    </row>
    <row r="37" spans="1:10">
      <c r="A37">
        <v>13</v>
      </c>
      <c r="B37" t="s">
        <v>88</v>
      </c>
      <c r="C37" s="14">
        <v>44255</v>
      </c>
      <c r="D37" t="s">
        <v>11</v>
      </c>
      <c r="E37">
        <v>350</v>
      </c>
      <c r="F37" t="s">
        <v>43</v>
      </c>
    </row>
    <row r="38" spans="1:10" ht="25.9">
      <c r="A38">
        <v>14</v>
      </c>
      <c r="B38" s="60" t="s">
        <v>89</v>
      </c>
      <c r="C38" s="14">
        <v>44255</v>
      </c>
      <c r="D38" t="s">
        <v>11</v>
      </c>
      <c r="E38">
        <v>288</v>
      </c>
      <c r="F38" t="s">
        <v>43</v>
      </c>
    </row>
    <row r="39" spans="1:10">
      <c r="A39">
        <v>15</v>
      </c>
      <c r="B39" t="s">
        <v>90</v>
      </c>
      <c r="C39" s="14">
        <v>44255</v>
      </c>
      <c r="D39" t="s">
        <v>11</v>
      </c>
      <c r="E39">
        <v>339</v>
      </c>
      <c r="F39" t="s">
        <v>43</v>
      </c>
    </row>
    <row r="40" spans="1:10">
      <c r="A40">
        <v>16</v>
      </c>
      <c r="B40" t="s">
        <v>91</v>
      </c>
      <c r="C40" s="14">
        <v>44255</v>
      </c>
      <c r="D40" t="s">
        <v>11</v>
      </c>
      <c r="E40">
        <v>342</v>
      </c>
      <c r="F40" t="s">
        <v>43</v>
      </c>
    </row>
    <row r="41" spans="1:10">
      <c r="A41" t="s">
        <v>92</v>
      </c>
      <c r="B41" t="s">
        <v>93</v>
      </c>
      <c r="C41" s="14">
        <v>44256</v>
      </c>
      <c r="D41" t="s">
        <v>11</v>
      </c>
      <c r="E41">
        <v>443</v>
      </c>
    </row>
    <row r="42" spans="1:10">
      <c r="A42" t="s">
        <v>92</v>
      </c>
      <c r="B42" t="s">
        <v>94</v>
      </c>
      <c r="C42" s="14">
        <v>44256</v>
      </c>
      <c r="D42" t="s">
        <v>11</v>
      </c>
      <c r="E42">
        <v>364</v>
      </c>
    </row>
    <row r="46" spans="1:10">
      <c r="A46" s="3" t="s">
        <v>0</v>
      </c>
      <c r="B46" s="3" t="s">
        <v>95</v>
      </c>
      <c r="E46" s="10"/>
      <c r="F46" s="10"/>
      <c r="G46" s="10"/>
      <c r="H46" s="10"/>
      <c r="I46" s="10"/>
    </row>
    <row r="47" spans="1:10" ht="15.6">
      <c r="A47" s="1" t="s">
        <v>2</v>
      </c>
      <c r="B47" s="1" t="s">
        <v>3</v>
      </c>
      <c r="C47" s="1" t="s">
        <v>4</v>
      </c>
      <c r="D47" s="1" t="s">
        <v>5</v>
      </c>
      <c r="E47" s="1" t="s">
        <v>6</v>
      </c>
      <c r="F47" s="1" t="s">
        <v>7</v>
      </c>
      <c r="G47" s="1" t="s">
        <v>8</v>
      </c>
      <c r="H47" s="10"/>
      <c r="I47" t="s">
        <v>9</v>
      </c>
    </row>
    <row r="48" spans="1:10">
      <c r="A48">
        <v>1</v>
      </c>
      <c r="B48" t="s">
        <v>96</v>
      </c>
      <c r="C48" s="14">
        <v>44293</v>
      </c>
      <c r="D48" t="s">
        <v>34</v>
      </c>
      <c r="E48">
        <v>270</v>
      </c>
      <c r="F48" t="s">
        <v>35</v>
      </c>
      <c r="I48" t="s">
        <v>97</v>
      </c>
      <c r="J48" t="s">
        <v>98</v>
      </c>
    </row>
    <row r="49" spans="1:10" ht="21.6">
      <c r="A49">
        <v>2</v>
      </c>
      <c r="B49" s="95" t="s">
        <v>99</v>
      </c>
      <c r="C49" s="14">
        <v>44294</v>
      </c>
      <c r="D49" t="s">
        <v>34</v>
      </c>
      <c r="E49">
        <v>266</v>
      </c>
      <c r="F49" t="s">
        <v>35</v>
      </c>
      <c r="I49" t="s">
        <v>100</v>
      </c>
      <c r="J49" t="s">
        <v>101</v>
      </c>
    </row>
    <row r="50" spans="1:10">
      <c r="A50">
        <v>3</v>
      </c>
      <c r="B50" t="s">
        <v>102</v>
      </c>
      <c r="C50" s="14">
        <v>44295</v>
      </c>
      <c r="D50" t="s">
        <v>34</v>
      </c>
      <c r="E50">
        <v>254</v>
      </c>
      <c r="F50" t="s">
        <v>43</v>
      </c>
      <c r="I50" t="s">
        <v>103</v>
      </c>
      <c r="J50" t="s">
        <v>104</v>
      </c>
    </row>
    <row r="51" spans="1:10">
      <c r="A51">
        <v>4</v>
      </c>
      <c r="B51" t="s">
        <v>105</v>
      </c>
      <c r="C51" s="14">
        <v>44296</v>
      </c>
      <c r="D51" t="s">
        <v>34</v>
      </c>
      <c r="E51">
        <v>278</v>
      </c>
      <c r="F51" t="s">
        <v>43</v>
      </c>
      <c r="I51" t="s">
        <v>106</v>
      </c>
      <c r="J51" t="s">
        <v>107</v>
      </c>
    </row>
    <row r="52" spans="1:10">
      <c r="A52">
        <v>5</v>
      </c>
      <c r="B52" t="s">
        <v>108</v>
      </c>
      <c r="C52" s="14">
        <v>44297</v>
      </c>
      <c r="D52" t="s">
        <v>34</v>
      </c>
      <c r="E52">
        <v>271</v>
      </c>
      <c r="F52" t="s">
        <v>43</v>
      </c>
      <c r="I52" t="s">
        <v>109</v>
      </c>
      <c r="J52" t="s">
        <v>83</v>
      </c>
    </row>
    <row r="53" spans="1:10">
      <c r="A53">
        <v>6</v>
      </c>
      <c r="B53" t="s">
        <v>110</v>
      </c>
      <c r="C53" s="14">
        <v>44298</v>
      </c>
      <c r="D53" t="s">
        <v>34</v>
      </c>
      <c r="E53">
        <v>266</v>
      </c>
      <c r="F53" t="s">
        <v>43</v>
      </c>
      <c r="I53" t="s">
        <v>111</v>
      </c>
      <c r="J53" t="s">
        <v>112</v>
      </c>
    </row>
    <row r="54" spans="1:10">
      <c r="A54">
        <v>7</v>
      </c>
      <c r="B54" t="s">
        <v>113</v>
      </c>
      <c r="C54" s="14">
        <v>44299</v>
      </c>
      <c r="D54" t="s">
        <v>34</v>
      </c>
      <c r="E54">
        <v>263</v>
      </c>
      <c r="F54" t="s">
        <v>43</v>
      </c>
      <c r="I54" t="s">
        <v>114</v>
      </c>
      <c r="J54" t="s">
        <v>115</v>
      </c>
    </row>
    <row r="55" spans="1:10">
      <c r="A55">
        <v>8</v>
      </c>
      <c r="B55" t="s">
        <v>116</v>
      </c>
      <c r="C55" s="14">
        <v>44300</v>
      </c>
      <c r="D55" t="s">
        <v>34</v>
      </c>
      <c r="E55">
        <v>255</v>
      </c>
      <c r="F55" t="s">
        <v>43</v>
      </c>
      <c r="I55" t="s">
        <v>117</v>
      </c>
      <c r="J55" t="s">
        <v>118</v>
      </c>
    </row>
    <row r="56" spans="1:10">
      <c r="A56">
        <v>9</v>
      </c>
      <c r="B56" t="s">
        <v>119</v>
      </c>
      <c r="C56" s="14">
        <v>44301</v>
      </c>
      <c r="D56" t="s">
        <v>34</v>
      </c>
      <c r="E56">
        <v>249</v>
      </c>
      <c r="F56" t="s">
        <v>35</v>
      </c>
      <c r="I56" t="s">
        <v>120</v>
      </c>
      <c r="J56" t="s">
        <v>121</v>
      </c>
    </row>
    <row r="57" spans="1:10">
      <c r="A57">
        <v>10</v>
      </c>
      <c r="B57" t="s">
        <v>122</v>
      </c>
      <c r="C57" s="14">
        <v>44302</v>
      </c>
      <c r="D57" t="s">
        <v>34</v>
      </c>
      <c r="E57">
        <v>235</v>
      </c>
      <c r="F57" t="s">
        <v>35</v>
      </c>
    </row>
    <row r="58" spans="1:10">
      <c r="A58">
        <v>11</v>
      </c>
      <c r="B58" t="s">
        <v>123</v>
      </c>
      <c r="C58" s="14">
        <v>44303</v>
      </c>
      <c r="D58" t="s">
        <v>34</v>
      </c>
      <c r="E58">
        <v>263</v>
      </c>
      <c r="F58" t="s">
        <v>43</v>
      </c>
    </row>
    <row r="59" spans="1:10">
      <c r="A59">
        <v>12</v>
      </c>
      <c r="B59" t="s">
        <v>124</v>
      </c>
      <c r="C59" s="14">
        <v>44304</v>
      </c>
      <c r="D59" t="s">
        <v>34</v>
      </c>
      <c r="E59">
        <v>234</v>
      </c>
      <c r="F59" t="s">
        <v>43</v>
      </c>
    </row>
    <row r="60" spans="1:10">
      <c r="A60">
        <v>13</v>
      </c>
      <c r="B60" t="s">
        <v>125</v>
      </c>
      <c r="C60" s="14">
        <v>44305</v>
      </c>
      <c r="D60" t="s">
        <v>34</v>
      </c>
      <c r="E60">
        <v>268</v>
      </c>
      <c r="F60" t="s">
        <v>43</v>
      </c>
    </row>
    <row r="61" spans="1:10" ht="21.6">
      <c r="A61">
        <v>14</v>
      </c>
      <c r="B61" s="95" t="s">
        <v>126</v>
      </c>
      <c r="C61" s="14">
        <v>44306</v>
      </c>
      <c r="D61" t="s">
        <v>34</v>
      </c>
      <c r="E61">
        <v>246</v>
      </c>
      <c r="F61" t="s">
        <v>43</v>
      </c>
    </row>
    <row r="62" spans="1:10">
      <c r="A62">
        <v>15</v>
      </c>
      <c r="B62" t="s">
        <v>127</v>
      </c>
      <c r="C62" s="14">
        <v>44307</v>
      </c>
      <c r="D62" t="s">
        <v>34</v>
      </c>
      <c r="E62">
        <v>285</v>
      </c>
      <c r="F62" t="s">
        <v>43</v>
      </c>
    </row>
    <row r="63" spans="1:10" ht="21.6">
      <c r="A63">
        <v>16</v>
      </c>
      <c r="B63" s="95" t="s">
        <v>128</v>
      </c>
      <c r="C63" s="14">
        <v>44308</v>
      </c>
      <c r="D63" t="s">
        <v>34</v>
      </c>
      <c r="E63">
        <v>271</v>
      </c>
      <c r="F63" t="s">
        <v>43</v>
      </c>
    </row>
    <row r="64" spans="1:10">
      <c r="A64" t="s">
        <v>92</v>
      </c>
      <c r="B64" t="s">
        <v>129</v>
      </c>
      <c r="C64" s="14">
        <v>44309</v>
      </c>
      <c r="D64" t="s">
        <v>34</v>
      </c>
      <c r="E64">
        <v>287</v>
      </c>
    </row>
    <row r="68" spans="1:10">
      <c r="A68" s="3" t="s">
        <v>0</v>
      </c>
      <c r="B68" s="3" t="s">
        <v>130</v>
      </c>
      <c r="E68" s="10"/>
      <c r="F68" s="10"/>
      <c r="G68" s="10"/>
      <c r="H68" s="10"/>
      <c r="I68" s="10"/>
    </row>
    <row r="69" spans="1:10" ht="15.6">
      <c r="A69" s="1" t="s">
        <v>2</v>
      </c>
      <c r="B69" s="1" t="s">
        <v>3</v>
      </c>
      <c r="C69" s="1" t="s">
        <v>4</v>
      </c>
      <c r="D69" s="1" t="s">
        <v>5</v>
      </c>
      <c r="E69" s="1" t="s">
        <v>6</v>
      </c>
      <c r="F69" s="1" t="s">
        <v>7</v>
      </c>
      <c r="G69" s="1" t="s">
        <v>8</v>
      </c>
      <c r="H69" s="10"/>
      <c r="I69" t="s">
        <v>9</v>
      </c>
    </row>
    <row r="70" spans="1:10">
      <c r="A70">
        <v>1</v>
      </c>
      <c r="B70" t="s">
        <v>131</v>
      </c>
      <c r="C70" s="14">
        <v>44326</v>
      </c>
      <c r="D70" t="s">
        <v>11</v>
      </c>
      <c r="E70">
        <v>436</v>
      </c>
      <c r="F70" t="s">
        <v>43</v>
      </c>
      <c r="I70" t="s">
        <v>132</v>
      </c>
      <c r="J70" t="s">
        <v>133</v>
      </c>
    </row>
    <row r="71" spans="1:10">
      <c r="A71">
        <v>2</v>
      </c>
      <c r="B71" s="60" t="s">
        <v>134</v>
      </c>
      <c r="C71" s="14">
        <v>44326</v>
      </c>
      <c r="D71" t="s">
        <v>11</v>
      </c>
      <c r="E71">
        <v>484</v>
      </c>
      <c r="F71" t="s">
        <v>43</v>
      </c>
      <c r="I71" t="s">
        <v>135</v>
      </c>
      <c r="J71" t="s">
        <v>136</v>
      </c>
    </row>
    <row r="72" spans="1:10">
      <c r="A72">
        <v>3</v>
      </c>
      <c r="B72" t="s">
        <v>137</v>
      </c>
      <c r="C72" s="14">
        <v>44326</v>
      </c>
      <c r="D72" t="s">
        <v>11</v>
      </c>
      <c r="E72">
        <v>368</v>
      </c>
      <c r="F72" t="s">
        <v>43</v>
      </c>
      <c r="I72" t="s">
        <v>138</v>
      </c>
      <c r="J72" t="s">
        <v>139</v>
      </c>
    </row>
    <row r="73" spans="1:10" ht="21.6">
      <c r="A73">
        <v>4</v>
      </c>
      <c r="B73" s="95" t="s">
        <v>140</v>
      </c>
      <c r="C73" s="14">
        <v>44326</v>
      </c>
      <c r="D73" t="s">
        <v>11</v>
      </c>
      <c r="E73">
        <v>360</v>
      </c>
      <c r="F73" t="s">
        <v>35</v>
      </c>
      <c r="I73" t="s">
        <v>141</v>
      </c>
      <c r="J73" t="s">
        <v>83</v>
      </c>
    </row>
    <row r="74" spans="1:10">
      <c r="A74">
        <v>5</v>
      </c>
      <c r="B74" t="s">
        <v>142</v>
      </c>
      <c r="C74" s="14">
        <v>44326</v>
      </c>
      <c r="D74" t="s">
        <v>11</v>
      </c>
      <c r="E74">
        <v>357</v>
      </c>
      <c r="F74" t="s">
        <v>35</v>
      </c>
      <c r="I74" t="s">
        <v>143</v>
      </c>
      <c r="J74" t="s">
        <v>144</v>
      </c>
    </row>
    <row r="75" spans="1:10">
      <c r="A75">
        <v>6</v>
      </c>
      <c r="B75" t="s">
        <v>145</v>
      </c>
      <c r="C75" s="14">
        <v>44326</v>
      </c>
      <c r="D75" t="s">
        <v>11</v>
      </c>
      <c r="E75">
        <v>381</v>
      </c>
      <c r="F75" t="s">
        <v>43</v>
      </c>
      <c r="I75" t="s">
        <v>146</v>
      </c>
      <c r="J75" t="s">
        <v>147</v>
      </c>
    </row>
    <row r="76" spans="1:10" ht="21.6">
      <c r="A76">
        <v>7</v>
      </c>
      <c r="B76" s="95" t="s">
        <v>148</v>
      </c>
      <c r="C76" s="14">
        <v>44326</v>
      </c>
      <c r="D76" t="s">
        <v>11</v>
      </c>
      <c r="E76">
        <v>380</v>
      </c>
      <c r="F76" t="s">
        <v>43</v>
      </c>
      <c r="I76" t="s">
        <v>149</v>
      </c>
      <c r="J76" t="s">
        <v>150</v>
      </c>
    </row>
    <row r="77" spans="1:10">
      <c r="A77">
        <v>8</v>
      </c>
      <c r="B77" t="s">
        <v>151</v>
      </c>
      <c r="C77" s="14">
        <v>44326</v>
      </c>
      <c r="D77" t="s">
        <v>11</v>
      </c>
      <c r="E77">
        <v>379</v>
      </c>
      <c r="F77" t="s">
        <v>43</v>
      </c>
      <c r="I77" t="s">
        <v>152</v>
      </c>
      <c r="J77" t="s">
        <v>153</v>
      </c>
    </row>
    <row r="78" spans="1:10">
      <c r="A78">
        <v>9</v>
      </c>
      <c r="B78" t="s">
        <v>154</v>
      </c>
      <c r="C78" s="14">
        <v>44326</v>
      </c>
      <c r="D78" t="s">
        <v>11</v>
      </c>
      <c r="E78">
        <v>365</v>
      </c>
      <c r="F78" t="s">
        <v>35</v>
      </c>
      <c r="I78" t="s">
        <v>155</v>
      </c>
      <c r="J78" t="s">
        <v>156</v>
      </c>
    </row>
    <row r="79" spans="1:10">
      <c r="A79">
        <v>10</v>
      </c>
      <c r="B79" t="s">
        <v>157</v>
      </c>
      <c r="C79" s="14">
        <v>44326</v>
      </c>
      <c r="D79" t="s">
        <v>11</v>
      </c>
      <c r="E79">
        <v>340</v>
      </c>
      <c r="F79" t="s">
        <v>35</v>
      </c>
    </row>
    <row r="80" spans="1:10">
      <c r="A80">
        <v>11</v>
      </c>
      <c r="B80" t="s">
        <v>158</v>
      </c>
      <c r="C80" s="14">
        <v>44326</v>
      </c>
      <c r="D80" t="s">
        <v>11</v>
      </c>
      <c r="E80">
        <v>332</v>
      </c>
      <c r="F80" t="s">
        <v>43</v>
      </c>
    </row>
    <row r="81" spans="1:10">
      <c r="A81">
        <v>12</v>
      </c>
      <c r="B81" t="s">
        <v>159</v>
      </c>
      <c r="C81" s="14">
        <v>44326</v>
      </c>
      <c r="D81" t="s">
        <v>11</v>
      </c>
      <c r="E81">
        <v>346</v>
      </c>
      <c r="F81" t="s">
        <v>43</v>
      </c>
    </row>
    <row r="82" spans="1:10">
      <c r="A82">
        <v>13</v>
      </c>
      <c r="B82" t="s">
        <v>160</v>
      </c>
      <c r="C82" s="14">
        <v>44326</v>
      </c>
      <c r="D82" t="s">
        <v>11</v>
      </c>
      <c r="E82">
        <v>378</v>
      </c>
      <c r="F82" t="s">
        <v>43</v>
      </c>
    </row>
    <row r="83" spans="1:10" ht="27.6">
      <c r="A83">
        <v>14</v>
      </c>
      <c r="B83" s="111" t="s">
        <v>161</v>
      </c>
      <c r="C83" s="14">
        <v>44326</v>
      </c>
      <c r="D83" t="s">
        <v>11</v>
      </c>
      <c r="E83">
        <v>374</v>
      </c>
      <c r="F83" t="s">
        <v>162</v>
      </c>
    </row>
    <row r="84" spans="1:10">
      <c r="A84">
        <v>15</v>
      </c>
      <c r="B84" t="s">
        <v>163</v>
      </c>
      <c r="C84" s="14">
        <v>44326</v>
      </c>
      <c r="D84" t="s">
        <v>11</v>
      </c>
      <c r="E84">
        <v>346</v>
      </c>
      <c r="F84" t="s">
        <v>43</v>
      </c>
    </row>
    <row r="85" spans="1:10">
      <c r="A85">
        <v>16</v>
      </c>
      <c r="B85" s="60" t="s">
        <v>164</v>
      </c>
      <c r="C85" s="14">
        <v>44326</v>
      </c>
      <c r="D85" t="s">
        <v>11</v>
      </c>
      <c r="E85">
        <v>330</v>
      </c>
      <c r="F85" t="s">
        <v>43</v>
      </c>
    </row>
    <row r="86" spans="1:10">
      <c r="A86" t="s">
        <v>92</v>
      </c>
      <c r="B86" t="s">
        <v>165</v>
      </c>
      <c r="C86" s="14">
        <v>44326</v>
      </c>
      <c r="D86" t="s">
        <v>11</v>
      </c>
      <c r="E86">
        <v>582</v>
      </c>
    </row>
    <row r="90" spans="1:10">
      <c r="A90" s="3" t="s">
        <v>0</v>
      </c>
      <c r="B90" s="3" t="s">
        <v>166</v>
      </c>
      <c r="E90" s="10"/>
      <c r="F90" s="10"/>
      <c r="G90" s="10"/>
      <c r="H90" s="10"/>
      <c r="I90" s="10"/>
    </row>
    <row r="91" spans="1:10" ht="15.6">
      <c r="A91" s="1" t="s">
        <v>2</v>
      </c>
      <c r="B91" s="1" t="s">
        <v>3</v>
      </c>
      <c r="C91" s="1" t="s">
        <v>4</v>
      </c>
      <c r="D91" s="1" t="s">
        <v>5</v>
      </c>
      <c r="E91" s="1" t="s">
        <v>6</v>
      </c>
      <c r="F91" s="1" t="s">
        <v>7</v>
      </c>
      <c r="G91" s="1" t="s">
        <v>8</v>
      </c>
      <c r="H91" s="10"/>
      <c r="I91" t="s">
        <v>9</v>
      </c>
    </row>
    <row r="92" spans="1:10">
      <c r="A92">
        <v>1</v>
      </c>
      <c r="B92" t="s">
        <v>167</v>
      </c>
      <c r="C92" s="14">
        <v>44348</v>
      </c>
      <c r="D92" t="s">
        <v>11</v>
      </c>
      <c r="E92">
        <v>269</v>
      </c>
      <c r="F92" t="s">
        <v>43</v>
      </c>
      <c r="I92" t="s">
        <v>168</v>
      </c>
      <c r="J92" t="s">
        <v>169</v>
      </c>
    </row>
    <row r="93" spans="1:10">
      <c r="A93">
        <v>2</v>
      </c>
      <c r="B93" s="60" t="s">
        <v>170</v>
      </c>
      <c r="C93" s="14">
        <v>44348</v>
      </c>
      <c r="D93" t="s">
        <v>11</v>
      </c>
      <c r="E93">
        <v>253</v>
      </c>
      <c r="F93" t="s">
        <v>43</v>
      </c>
      <c r="I93" t="s">
        <v>171</v>
      </c>
      <c r="J93" t="s">
        <v>172</v>
      </c>
    </row>
    <row r="94" spans="1:10">
      <c r="A94">
        <v>3</v>
      </c>
      <c r="B94" t="s">
        <v>173</v>
      </c>
      <c r="C94" s="14">
        <v>44348</v>
      </c>
      <c r="D94" t="s">
        <v>11</v>
      </c>
      <c r="E94">
        <v>262</v>
      </c>
      <c r="F94" t="s">
        <v>35</v>
      </c>
      <c r="I94" t="s">
        <v>174</v>
      </c>
      <c r="J94" t="s">
        <v>83</v>
      </c>
    </row>
    <row r="95" spans="1:10">
      <c r="A95">
        <v>4</v>
      </c>
      <c r="B95" s="60" t="s">
        <v>175</v>
      </c>
      <c r="C95" s="14">
        <v>44348</v>
      </c>
      <c r="D95" t="s">
        <v>11</v>
      </c>
      <c r="E95">
        <v>264</v>
      </c>
      <c r="F95" t="s">
        <v>35</v>
      </c>
      <c r="I95" t="s">
        <v>176</v>
      </c>
      <c r="J95" t="s">
        <v>177</v>
      </c>
    </row>
    <row r="96" spans="1:10">
      <c r="A96">
        <v>5</v>
      </c>
      <c r="B96" t="s">
        <v>178</v>
      </c>
      <c r="C96" s="14">
        <v>44348</v>
      </c>
      <c r="D96" t="s">
        <v>11</v>
      </c>
      <c r="E96">
        <v>255</v>
      </c>
      <c r="F96" t="s">
        <v>35</v>
      </c>
      <c r="I96" t="s">
        <v>179</v>
      </c>
      <c r="J96" t="s">
        <v>180</v>
      </c>
    </row>
    <row r="97" spans="1:10">
      <c r="A97">
        <v>6</v>
      </c>
      <c r="B97" t="s">
        <v>181</v>
      </c>
      <c r="C97" s="14">
        <v>44348</v>
      </c>
      <c r="D97" t="s">
        <v>11</v>
      </c>
      <c r="E97">
        <v>225</v>
      </c>
      <c r="F97" t="s">
        <v>43</v>
      </c>
      <c r="I97" t="s">
        <v>182</v>
      </c>
      <c r="J97" t="s">
        <v>83</v>
      </c>
    </row>
    <row r="98" spans="1:10">
      <c r="A98">
        <v>7</v>
      </c>
      <c r="B98" s="60" t="s">
        <v>183</v>
      </c>
      <c r="C98" s="14">
        <v>44348</v>
      </c>
      <c r="D98" t="s">
        <v>11</v>
      </c>
      <c r="E98">
        <v>230</v>
      </c>
      <c r="F98" t="s">
        <v>43</v>
      </c>
      <c r="I98" t="s">
        <v>184</v>
      </c>
      <c r="J98" t="s">
        <v>185</v>
      </c>
    </row>
    <row r="99" spans="1:10">
      <c r="A99">
        <v>8</v>
      </c>
      <c r="B99" t="s">
        <v>186</v>
      </c>
      <c r="C99" s="14">
        <v>44348</v>
      </c>
      <c r="D99" t="s">
        <v>34</v>
      </c>
      <c r="E99">
        <v>269</v>
      </c>
      <c r="F99" t="s">
        <v>43</v>
      </c>
      <c r="I99" t="s">
        <v>187</v>
      </c>
      <c r="J99" t="s">
        <v>188</v>
      </c>
    </row>
    <row r="100" spans="1:10">
      <c r="A100">
        <v>9</v>
      </c>
      <c r="B100" t="s">
        <v>189</v>
      </c>
      <c r="C100" s="14">
        <v>44348</v>
      </c>
      <c r="D100" t="s">
        <v>34</v>
      </c>
      <c r="E100">
        <v>245</v>
      </c>
      <c r="F100" t="s">
        <v>43</v>
      </c>
      <c r="I100" t="s">
        <v>190</v>
      </c>
      <c r="J100" t="s">
        <v>191</v>
      </c>
    </row>
    <row r="101" spans="1:10">
      <c r="A101">
        <v>10</v>
      </c>
      <c r="B101" t="s">
        <v>192</v>
      </c>
      <c r="C101" s="14">
        <v>44348</v>
      </c>
      <c r="D101" t="s">
        <v>11</v>
      </c>
      <c r="E101">
        <v>256</v>
      </c>
      <c r="F101" t="s">
        <v>43</v>
      </c>
      <c r="I101" t="s">
        <v>193</v>
      </c>
      <c r="J101" t="s">
        <v>83</v>
      </c>
    </row>
    <row r="102" spans="1:10">
      <c r="A102">
        <v>11</v>
      </c>
      <c r="B102" t="s">
        <v>194</v>
      </c>
      <c r="C102" s="14">
        <v>44348</v>
      </c>
      <c r="D102" t="s">
        <v>11</v>
      </c>
      <c r="E102">
        <v>270</v>
      </c>
      <c r="F102" t="s">
        <v>35</v>
      </c>
    </row>
    <row r="103" spans="1:10">
      <c r="A103">
        <v>12</v>
      </c>
      <c r="B103" t="s">
        <v>195</v>
      </c>
      <c r="C103" s="14">
        <v>44348</v>
      </c>
      <c r="D103" t="s">
        <v>11</v>
      </c>
      <c r="E103">
        <v>246</v>
      </c>
      <c r="F103" t="s">
        <v>35</v>
      </c>
    </row>
    <row r="104" spans="1:10">
      <c r="A104">
        <v>13</v>
      </c>
      <c r="B104" t="s">
        <v>196</v>
      </c>
      <c r="C104" s="14">
        <v>44348</v>
      </c>
      <c r="D104" t="s">
        <v>11</v>
      </c>
      <c r="E104">
        <v>249</v>
      </c>
      <c r="F104" t="s">
        <v>43</v>
      </c>
    </row>
    <row r="105" spans="1:10">
      <c r="A105">
        <v>14</v>
      </c>
      <c r="B105" s="60" t="s">
        <v>197</v>
      </c>
      <c r="C105" s="14">
        <v>44348</v>
      </c>
      <c r="D105" t="s">
        <v>34</v>
      </c>
      <c r="E105">
        <v>266</v>
      </c>
      <c r="F105" t="s">
        <v>43</v>
      </c>
    </row>
    <row r="106" spans="1:10">
      <c r="A106">
        <v>15</v>
      </c>
      <c r="B106" t="s">
        <v>198</v>
      </c>
      <c r="C106" s="14">
        <v>44348</v>
      </c>
      <c r="D106" t="s">
        <v>34</v>
      </c>
      <c r="E106">
        <v>287</v>
      </c>
      <c r="F106" t="s">
        <v>43</v>
      </c>
    </row>
    <row r="107" spans="1:10">
      <c r="A107">
        <v>16</v>
      </c>
      <c r="B107" s="60" t="s">
        <v>199</v>
      </c>
      <c r="C107" s="14">
        <v>44348</v>
      </c>
      <c r="D107" t="s">
        <v>34</v>
      </c>
      <c r="E107">
        <v>260</v>
      </c>
      <c r="F107" t="s">
        <v>43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4"/>
  <sheetViews>
    <sheetView workbookViewId="0">
      <selection activeCell="M48" sqref="M48"/>
    </sheetView>
  </sheetViews>
  <sheetFormatPr defaultRowHeight="14.45"/>
  <cols>
    <col min="1" max="1" width="12.7109375" customWidth="1"/>
    <col min="3" max="3" width="14.7109375" customWidth="1"/>
    <col min="4" max="4" width="9.7109375" bestFit="1" customWidth="1"/>
    <col min="5" max="5" width="10.7109375" customWidth="1"/>
    <col min="6" max="6" width="10" customWidth="1"/>
    <col min="7" max="8" width="10.28515625" customWidth="1"/>
    <col min="9" max="10" width="10" customWidth="1"/>
    <col min="11" max="11" width="10.140625" customWidth="1"/>
    <col min="12" max="12" width="10.28515625" customWidth="1"/>
    <col min="13" max="14" width="10.42578125" customWidth="1"/>
  </cols>
  <sheetData>
    <row r="1" spans="1:5">
      <c r="A1" t="s">
        <v>200</v>
      </c>
    </row>
    <row r="2" spans="1:5">
      <c r="A2" t="s">
        <v>201</v>
      </c>
      <c r="E2" t="s">
        <v>202</v>
      </c>
    </row>
    <row r="3" spans="1:5">
      <c r="A3" t="s">
        <v>203</v>
      </c>
    </row>
    <row r="5" spans="1:5">
      <c r="A5" t="s">
        <v>9</v>
      </c>
    </row>
    <row r="6" spans="1:5">
      <c r="A6" t="s">
        <v>14</v>
      </c>
      <c r="B6" t="s">
        <v>15</v>
      </c>
      <c r="C6" t="s">
        <v>16</v>
      </c>
      <c r="D6" t="s">
        <v>17</v>
      </c>
    </row>
    <row r="7" spans="1:5">
      <c r="A7" t="s">
        <v>19</v>
      </c>
      <c r="B7" t="s">
        <v>20</v>
      </c>
      <c r="C7" t="s">
        <v>16</v>
      </c>
      <c r="D7" t="s">
        <v>17</v>
      </c>
    </row>
    <row r="8" spans="1:5">
      <c r="A8" t="s">
        <v>21</v>
      </c>
      <c r="B8" t="s">
        <v>22</v>
      </c>
      <c r="C8" t="s">
        <v>16</v>
      </c>
      <c r="D8" t="s">
        <v>17</v>
      </c>
    </row>
    <row r="9" spans="1:5">
      <c r="A9" t="s">
        <v>23</v>
      </c>
      <c r="C9" t="s">
        <v>24</v>
      </c>
      <c r="D9" t="s">
        <v>17</v>
      </c>
    </row>
    <row r="10" spans="1:5">
      <c r="A10" t="s">
        <v>26</v>
      </c>
      <c r="B10" t="s">
        <v>27</v>
      </c>
      <c r="C10" t="s">
        <v>28</v>
      </c>
      <c r="D10" t="s">
        <v>29</v>
      </c>
    </row>
    <row r="11" spans="1:5">
      <c r="A11" t="s">
        <v>31</v>
      </c>
      <c r="B11" t="s">
        <v>32</v>
      </c>
      <c r="C11" t="s">
        <v>28</v>
      </c>
      <c r="D11" t="s">
        <v>17</v>
      </c>
    </row>
    <row r="12" spans="1:5">
      <c r="A12" t="s">
        <v>37</v>
      </c>
      <c r="C12" t="s">
        <v>38</v>
      </c>
      <c r="D12" t="s">
        <v>17</v>
      </c>
    </row>
    <row r="13" spans="1:5">
      <c r="A13" t="s">
        <v>40</v>
      </c>
      <c r="B13" t="s">
        <v>41</v>
      </c>
      <c r="C13" t="s">
        <v>42</v>
      </c>
      <c r="D13" t="s">
        <v>17</v>
      </c>
    </row>
    <row r="14" spans="1:5">
      <c r="A14" t="s">
        <v>44</v>
      </c>
      <c r="C14" t="s">
        <v>45</v>
      </c>
      <c r="D14" t="s">
        <v>29</v>
      </c>
    </row>
    <row r="15" spans="1:5">
      <c r="A15" t="s">
        <v>47</v>
      </c>
      <c r="B15" t="s">
        <v>48</v>
      </c>
      <c r="C15" t="s">
        <v>49</v>
      </c>
      <c r="D15" t="s">
        <v>17</v>
      </c>
    </row>
    <row r="17" spans="1:14">
      <c r="A17" s="39" t="s">
        <v>204</v>
      </c>
    </row>
    <row r="18" spans="1:14">
      <c r="A18" s="45" t="s">
        <v>205</v>
      </c>
    </row>
    <row r="19" spans="1:14">
      <c r="A19" s="44" t="s">
        <v>206</v>
      </c>
    </row>
    <row r="20" spans="1:14">
      <c r="A20" s="46" t="s">
        <v>207</v>
      </c>
    </row>
    <row r="23" spans="1:14">
      <c r="A23" s="10"/>
      <c r="B23" s="10"/>
      <c r="C23" s="10" t="s">
        <v>208</v>
      </c>
      <c r="D23" s="58" t="s">
        <v>209</v>
      </c>
      <c r="E23" s="58" t="s">
        <v>209</v>
      </c>
      <c r="F23" s="58" t="s">
        <v>209</v>
      </c>
      <c r="G23" s="58" t="s">
        <v>209</v>
      </c>
      <c r="H23" s="58" t="s">
        <v>209</v>
      </c>
      <c r="I23" s="58" t="s">
        <v>209</v>
      </c>
      <c r="J23" s="58" t="s">
        <v>209</v>
      </c>
      <c r="K23" s="58" t="s">
        <v>209</v>
      </c>
      <c r="L23" s="58" t="s">
        <v>209</v>
      </c>
      <c r="M23" s="58" t="s">
        <v>209</v>
      </c>
      <c r="N23" s="58" t="s">
        <v>209</v>
      </c>
    </row>
    <row r="24" spans="1:14">
      <c r="A24" s="10" t="s">
        <v>210</v>
      </c>
      <c r="B24" s="10"/>
      <c r="C24" s="10"/>
      <c r="D24" s="5" t="s">
        <v>211</v>
      </c>
      <c r="E24" s="5" t="s">
        <v>212</v>
      </c>
      <c r="F24" s="5" t="s">
        <v>213</v>
      </c>
      <c r="G24" s="5" t="s">
        <v>214</v>
      </c>
      <c r="H24" s="5" t="s">
        <v>215</v>
      </c>
      <c r="I24" s="5" t="s">
        <v>216</v>
      </c>
      <c r="J24" s="5" t="s">
        <v>217</v>
      </c>
      <c r="K24" s="5" t="s">
        <v>218</v>
      </c>
      <c r="L24" s="5" t="s">
        <v>219</v>
      </c>
      <c r="M24" s="5" t="s">
        <v>220</v>
      </c>
      <c r="N24" s="5" t="s">
        <v>221</v>
      </c>
    </row>
    <row r="25" spans="1:14">
      <c r="A25" s="10" t="s">
        <v>222</v>
      </c>
      <c r="B25" s="10" t="s">
        <v>223</v>
      </c>
      <c r="C25" s="10" t="s">
        <v>8</v>
      </c>
      <c r="D25" s="2">
        <v>44221</v>
      </c>
      <c r="E25" s="2">
        <v>44222</v>
      </c>
      <c r="F25" s="2">
        <v>44223</v>
      </c>
      <c r="G25" s="2">
        <v>44224</v>
      </c>
      <c r="H25" s="2">
        <v>44225</v>
      </c>
      <c r="I25" s="2">
        <v>44226</v>
      </c>
      <c r="J25" s="2">
        <v>44227</v>
      </c>
      <c r="K25" s="2">
        <v>44228</v>
      </c>
      <c r="L25" s="2">
        <v>44229</v>
      </c>
      <c r="M25" s="2">
        <v>44230</v>
      </c>
      <c r="N25" s="2">
        <v>44231</v>
      </c>
    </row>
    <row r="26" spans="1:14">
      <c r="A26" s="24" t="s">
        <v>10</v>
      </c>
      <c r="B26" s="7">
        <v>1</v>
      </c>
      <c r="C26" s="12" t="s">
        <v>12</v>
      </c>
      <c r="D26" s="7">
        <v>361</v>
      </c>
      <c r="E26" s="7"/>
      <c r="F26" s="47"/>
      <c r="G26" s="8">
        <v>340</v>
      </c>
      <c r="H26" s="8"/>
      <c r="I26" s="20"/>
      <c r="J26" s="6"/>
      <c r="K26" s="7">
        <v>352</v>
      </c>
      <c r="L26" s="7"/>
      <c r="M26" s="7"/>
      <c r="N26" s="7"/>
    </row>
    <row r="27" spans="1:14">
      <c r="A27" s="24" t="s">
        <v>18</v>
      </c>
      <c r="B27" s="7">
        <v>2</v>
      </c>
      <c r="C27" s="12" t="s">
        <v>12</v>
      </c>
      <c r="D27" s="7">
        <v>246</v>
      </c>
      <c r="E27" s="7"/>
      <c r="F27" s="7"/>
      <c r="G27" s="8">
        <v>232</v>
      </c>
      <c r="H27" s="8"/>
      <c r="I27" s="20"/>
      <c r="J27" s="6"/>
      <c r="K27" s="7">
        <v>246</v>
      </c>
      <c r="L27" s="7"/>
      <c r="M27" s="7"/>
      <c r="N27" s="7"/>
    </row>
    <row r="28" spans="1:14">
      <c r="A28" s="24">
        <v>544</v>
      </c>
      <c r="B28" s="7">
        <v>3</v>
      </c>
      <c r="C28" s="12" t="s">
        <v>12</v>
      </c>
      <c r="D28" s="7">
        <v>279</v>
      </c>
      <c r="E28" s="7"/>
      <c r="F28" s="7"/>
      <c r="G28" s="8">
        <v>258</v>
      </c>
      <c r="H28" s="8"/>
      <c r="I28" s="20"/>
      <c r="J28" s="6"/>
      <c r="K28" s="7">
        <v>267</v>
      </c>
      <c r="L28" s="7"/>
      <c r="M28" s="7"/>
      <c r="N28" s="7"/>
    </row>
    <row r="29" spans="1:14">
      <c r="A29" s="25">
        <v>545</v>
      </c>
      <c r="B29" s="7">
        <v>4</v>
      </c>
      <c r="C29" s="12" t="s">
        <v>12</v>
      </c>
      <c r="D29" s="7">
        <v>293</v>
      </c>
      <c r="E29" s="7"/>
      <c r="F29" s="7"/>
      <c r="G29" s="8">
        <v>285</v>
      </c>
      <c r="H29" s="8"/>
      <c r="I29" s="20"/>
      <c r="J29" s="6"/>
      <c r="K29" s="7">
        <v>296</v>
      </c>
      <c r="L29" s="7"/>
      <c r="M29" s="7"/>
      <c r="N29" s="7"/>
    </row>
    <row r="30" spans="1:14">
      <c r="A30" s="24" t="s">
        <v>25</v>
      </c>
      <c r="B30" s="7">
        <v>5</v>
      </c>
      <c r="C30" s="12" t="s">
        <v>12</v>
      </c>
      <c r="D30" s="7">
        <v>310</v>
      </c>
      <c r="E30" s="7"/>
      <c r="F30" s="7"/>
      <c r="G30" s="8">
        <v>313</v>
      </c>
      <c r="H30" s="8"/>
      <c r="I30" s="20"/>
      <c r="J30" s="6"/>
      <c r="K30" s="7">
        <v>321</v>
      </c>
      <c r="L30" s="7"/>
      <c r="M30" s="7"/>
      <c r="N30" s="7"/>
    </row>
    <row r="31" spans="1:14">
      <c r="A31" s="24" t="s">
        <v>30</v>
      </c>
      <c r="B31" s="7">
        <v>6</v>
      </c>
      <c r="C31" s="12" t="s">
        <v>12</v>
      </c>
      <c r="D31" s="7">
        <v>284</v>
      </c>
      <c r="E31" s="7"/>
      <c r="F31" s="7"/>
      <c r="G31" s="8">
        <v>283</v>
      </c>
      <c r="H31" s="8"/>
      <c r="I31" s="21"/>
      <c r="J31" s="23"/>
      <c r="K31" s="7">
        <v>293</v>
      </c>
      <c r="L31" s="7"/>
      <c r="M31" s="7"/>
      <c r="N31" s="7"/>
    </row>
    <row r="32" spans="1:14">
      <c r="A32" s="24" t="s">
        <v>33</v>
      </c>
      <c r="B32" s="7">
        <v>7</v>
      </c>
      <c r="C32" s="12" t="s">
        <v>224</v>
      </c>
      <c r="D32" s="7">
        <v>290</v>
      </c>
      <c r="E32" s="7"/>
      <c r="F32" s="7"/>
      <c r="G32" s="8">
        <v>306</v>
      </c>
      <c r="H32" s="8"/>
      <c r="I32" s="20"/>
      <c r="J32" s="7"/>
      <c r="K32" s="6">
        <v>324</v>
      </c>
      <c r="L32" s="7"/>
      <c r="M32" s="7"/>
      <c r="N32" s="7"/>
    </row>
    <row r="33" spans="1:14">
      <c r="A33" s="24" t="s">
        <v>39</v>
      </c>
      <c r="B33" s="7">
        <v>8</v>
      </c>
      <c r="C33" s="12" t="s">
        <v>224</v>
      </c>
      <c r="D33" s="7">
        <v>278</v>
      </c>
      <c r="E33" s="7"/>
      <c r="F33" s="7"/>
      <c r="G33" s="8">
        <v>291</v>
      </c>
      <c r="H33" s="8"/>
      <c r="I33" s="22"/>
      <c r="J33" s="9"/>
      <c r="K33" s="7">
        <v>293</v>
      </c>
      <c r="L33" s="7"/>
      <c r="M33" s="7"/>
      <c r="N33" s="7"/>
    </row>
    <row r="34" spans="1:14">
      <c r="A34" s="25">
        <v>546</v>
      </c>
      <c r="B34" s="7">
        <v>9</v>
      </c>
      <c r="C34" s="12" t="s">
        <v>12</v>
      </c>
      <c r="D34" s="7">
        <v>304</v>
      </c>
      <c r="E34" s="7"/>
      <c r="F34" s="7"/>
      <c r="G34" s="8">
        <v>297</v>
      </c>
      <c r="H34" s="8"/>
      <c r="I34" s="20"/>
      <c r="J34" s="6"/>
      <c r="K34" s="6">
        <v>302</v>
      </c>
      <c r="L34" s="7"/>
      <c r="M34" s="7"/>
      <c r="N34" s="7"/>
    </row>
    <row r="35" spans="1:14">
      <c r="A35" s="24" t="s">
        <v>46</v>
      </c>
      <c r="B35" s="7">
        <v>10</v>
      </c>
      <c r="C35" s="12" t="s">
        <v>12</v>
      </c>
      <c r="D35" s="7">
        <v>298</v>
      </c>
      <c r="E35" s="7"/>
      <c r="F35" s="7"/>
      <c r="G35" s="8">
        <v>278</v>
      </c>
      <c r="H35" s="8"/>
      <c r="I35" s="20"/>
      <c r="J35" s="6"/>
      <c r="K35" s="7">
        <v>303</v>
      </c>
      <c r="L35" s="7"/>
      <c r="M35" s="7"/>
      <c r="N35" s="7"/>
    </row>
    <row r="36" spans="1:14">
      <c r="A36" s="24" t="s">
        <v>50</v>
      </c>
      <c r="B36" s="7">
        <v>11</v>
      </c>
      <c r="C36" s="12" t="s">
        <v>12</v>
      </c>
      <c r="D36" s="7">
        <v>339</v>
      </c>
      <c r="E36" s="7"/>
      <c r="F36" s="7"/>
      <c r="G36" s="7">
        <v>289</v>
      </c>
      <c r="H36" s="7"/>
      <c r="I36" s="11"/>
      <c r="J36" s="7"/>
      <c r="K36" s="7">
        <v>302</v>
      </c>
      <c r="L36" s="7"/>
      <c r="M36" s="7"/>
      <c r="N36" s="7"/>
    </row>
    <row r="37" spans="1:14">
      <c r="A37" s="24" t="s">
        <v>51</v>
      </c>
      <c r="B37" s="7">
        <v>12</v>
      </c>
      <c r="C37" s="12" t="s">
        <v>12</v>
      </c>
      <c r="D37" s="40">
        <v>459</v>
      </c>
      <c r="E37" s="7"/>
      <c r="F37" s="7"/>
      <c r="G37" s="8">
        <v>427</v>
      </c>
      <c r="H37" s="41"/>
      <c r="I37" s="20"/>
      <c r="J37" s="6"/>
      <c r="K37" s="7">
        <v>409</v>
      </c>
      <c r="L37" s="7"/>
      <c r="M37" s="7"/>
      <c r="N37" s="40"/>
    </row>
    <row r="38" spans="1:14">
      <c r="A38" s="24" t="s">
        <v>52</v>
      </c>
      <c r="B38" s="7">
        <v>13</v>
      </c>
      <c r="C38" s="12" t="s">
        <v>12</v>
      </c>
      <c r="D38" s="40">
        <v>490</v>
      </c>
      <c r="E38" s="7"/>
      <c r="F38" s="7"/>
      <c r="G38" s="8">
        <v>456</v>
      </c>
      <c r="H38" s="41"/>
      <c r="I38" s="20"/>
      <c r="J38" s="6"/>
      <c r="K38" s="7">
        <v>438</v>
      </c>
      <c r="L38" s="7"/>
      <c r="M38" s="7"/>
      <c r="N38" s="40"/>
    </row>
    <row r="39" spans="1:14">
      <c r="A39" s="24" t="s">
        <v>53</v>
      </c>
      <c r="B39" s="7">
        <v>14</v>
      </c>
      <c r="C39" s="12" t="s">
        <v>224</v>
      </c>
      <c r="D39" s="7">
        <v>435</v>
      </c>
      <c r="E39" s="7"/>
      <c r="F39" s="7"/>
      <c r="G39" s="8">
        <v>467</v>
      </c>
      <c r="H39" s="8"/>
      <c r="I39" s="20"/>
      <c r="J39" s="6"/>
      <c r="K39" s="7">
        <v>500</v>
      </c>
      <c r="L39" s="7"/>
      <c r="M39" s="7"/>
      <c r="N39" s="7"/>
    </row>
    <row r="40" spans="1:14">
      <c r="A40" s="24" t="s">
        <v>54</v>
      </c>
      <c r="B40" s="7">
        <v>15</v>
      </c>
      <c r="C40" s="12" t="s">
        <v>12</v>
      </c>
      <c r="D40" s="40">
        <v>455</v>
      </c>
      <c r="E40" s="7"/>
      <c r="F40" s="7"/>
      <c r="G40" s="8">
        <v>434</v>
      </c>
      <c r="H40" s="41"/>
      <c r="I40" s="20"/>
      <c r="J40" s="6"/>
      <c r="K40" s="7">
        <v>470</v>
      </c>
      <c r="L40" s="7"/>
      <c r="M40" s="7"/>
      <c r="N40" s="40"/>
    </row>
    <row r="41" spans="1:14">
      <c r="A41" s="24" t="s">
        <v>55</v>
      </c>
      <c r="B41" s="7">
        <v>16</v>
      </c>
      <c r="C41" s="12" t="s">
        <v>12</v>
      </c>
      <c r="D41" s="40">
        <v>469</v>
      </c>
      <c r="E41" s="7"/>
      <c r="F41" s="7"/>
      <c r="G41" s="8">
        <v>429</v>
      </c>
      <c r="H41" s="41"/>
      <c r="I41" s="20"/>
      <c r="J41" s="6"/>
      <c r="K41" s="7">
        <v>429</v>
      </c>
      <c r="L41" s="7"/>
      <c r="M41" s="7"/>
      <c r="N41" s="40"/>
    </row>
    <row r="44" spans="1:14">
      <c r="A44" s="10"/>
      <c r="B44" s="10"/>
      <c r="C44" s="10" t="s">
        <v>208</v>
      </c>
      <c r="D44" s="13" t="s">
        <v>225</v>
      </c>
      <c r="E44" s="13" t="s">
        <v>225</v>
      </c>
      <c r="F44" s="13" t="s">
        <v>225</v>
      </c>
      <c r="G44" s="13" t="s">
        <v>225</v>
      </c>
      <c r="H44" s="13" t="s">
        <v>225</v>
      </c>
      <c r="I44" s="13" t="s">
        <v>225</v>
      </c>
      <c r="J44" s="13" t="s">
        <v>225</v>
      </c>
      <c r="K44" s="13" t="s">
        <v>225</v>
      </c>
      <c r="L44" s="13" t="s">
        <v>225</v>
      </c>
      <c r="M44" s="13" t="s">
        <v>225</v>
      </c>
      <c r="N44" s="13" t="s">
        <v>225</v>
      </c>
    </row>
    <row r="45" spans="1:14">
      <c r="A45" s="5" t="s">
        <v>226</v>
      </c>
      <c r="B45" s="10"/>
      <c r="C45" s="10"/>
      <c r="D45" s="5" t="s">
        <v>211</v>
      </c>
      <c r="E45" s="5" t="s">
        <v>212</v>
      </c>
      <c r="F45" s="5" t="s">
        <v>213</v>
      </c>
      <c r="G45" s="5" t="s">
        <v>214</v>
      </c>
      <c r="H45" s="5" t="s">
        <v>215</v>
      </c>
      <c r="I45" s="5" t="s">
        <v>216</v>
      </c>
      <c r="J45" s="5" t="s">
        <v>217</v>
      </c>
      <c r="K45" s="5" t="s">
        <v>218</v>
      </c>
      <c r="L45" s="5" t="s">
        <v>219</v>
      </c>
      <c r="M45" s="5" t="s">
        <v>220</v>
      </c>
      <c r="N45" s="5" t="s">
        <v>221</v>
      </c>
    </row>
    <row r="46" spans="1:14">
      <c r="A46" s="10" t="s">
        <v>222</v>
      </c>
      <c r="B46" s="10" t="s">
        <v>223</v>
      </c>
      <c r="C46" s="10" t="s">
        <v>8</v>
      </c>
      <c r="D46" s="2">
        <v>44221</v>
      </c>
      <c r="E46" s="2">
        <v>44222</v>
      </c>
      <c r="F46" s="2">
        <v>44223</v>
      </c>
      <c r="G46" s="2">
        <v>44224</v>
      </c>
      <c r="H46" s="2">
        <v>44225</v>
      </c>
      <c r="I46" s="2">
        <v>44226</v>
      </c>
      <c r="J46" s="2">
        <v>44227</v>
      </c>
      <c r="K46" s="2">
        <v>44228</v>
      </c>
      <c r="L46" s="2">
        <v>44229</v>
      </c>
      <c r="M46" s="2">
        <v>44230</v>
      </c>
      <c r="N46" s="2">
        <v>44231</v>
      </c>
    </row>
    <row r="47" spans="1:14">
      <c r="A47" s="24" t="s">
        <v>10</v>
      </c>
      <c r="B47" s="7">
        <v>1</v>
      </c>
      <c r="C47" s="12" t="s">
        <v>12</v>
      </c>
      <c r="D47" s="7">
        <v>60</v>
      </c>
      <c r="E47" s="7">
        <v>41</v>
      </c>
      <c r="F47" s="47">
        <v>61</v>
      </c>
      <c r="G47" s="8">
        <v>43</v>
      </c>
      <c r="H47" s="8">
        <v>54</v>
      </c>
      <c r="I47" s="20"/>
      <c r="J47" s="6">
        <v>75</v>
      </c>
      <c r="K47" s="7">
        <v>75</v>
      </c>
      <c r="L47" s="7">
        <v>75</v>
      </c>
      <c r="M47" s="7">
        <v>75</v>
      </c>
      <c r="N47" s="7">
        <v>64</v>
      </c>
    </row>
    <row r="48" spans="1:14">
      <c r="A48" s="24" t="s">
        <v>18</v>
      </c>
      <c r="B48" s="7">
        <v>2</v>
      </c>
      <c r="C48" s="12" t="s">
        <v>12</v>
      </c>
      <c r="D48" s="7">
        <v>53</v>
      </c>
      <c r="E48" s="7">
        <v>75</v>
      </c>
      <c r="F48" s="7">
        <v>75</v>
      </c>
      <c r="G48" s="8">
        <v>75</v>
      </c>
      <c r="H48" s="8">
        <v>75</v>
      </c>
      <c r="I48" s="20"/>
      <c r="J48" s="6">
        <v>75</v>
      </c>
      <c r="K48" s="7">
        <v>75</v>
      </c>
      <c r="L48" s="7">
        <v>75</v>
      </c>
      <c r="M48" s="7" t="s">
        <v>227</v>
      </c>
      <c r="N48" s="7">
        <v>75</v>
      </c>
    </row>
    <row r="49" spans="1:14">
      <c r="A49" s="24">
        <v>544</v>
      </c>
      <c r="B49" s="7">
        <v>3</v>
      </c>
      <c r="C49" s="12" t="s">
        <v>12</v>
      </c>
      <c r="D49" s="42">
        <v>31</v>
      </c>
      <c r="E49" s="42">
        <v>38</v>
      </c>
      <c r="F49" s="7">
        <v>45</v>
      </c>
      <c r="G49" s="45">
        <v>58</v>
      </c>
      <c r="H49" s="45">
        <v>75</v>
      </c>
      <c r="I49" s="20"/>
      <c r="J49" s="6">
        <v>75</v>
      </c>
      <c r="K49" s="7">
        <v>75</v>
      </c>
      <c r="L49" s="7">
        <v>75</v>
      </c>
      <c r="M49" s="7">
        <v>75</v>
      </c>
      <c r="N49" s="7">
        <v>75</v>
      </c>
    </row>
    <row r="50" spans="1:14">
      <c r="A50" s="25">
        <v>545</v>
      </c>
      <c r="B50" s="7">
        <v>4</v>
      </c>
      <c r="C50" s="12" t="s">
        <v>12</v>
      </c>
      <c r="D50" s="7">
        <v>33</v>
      </c>
      <c r="E50" s="7">
        <v>39</v>
      </c>
      <c r="F50" s="7">
        <v>62</v>
      </c>
      <c r="G50" s="8">
        <v>47</v>
      </c>
      <c r="H50" s="8">
        <v>45</v>
      </c>
      <c r="I50" s="20"/>
      <c r="J50" s="6">
        <v>41</v>
      </c>
      <c r="K50" s="7">
        <v>34</v>
      </c>
      <c r="L50" s="7">
        <v>34</v>
      </c>
      <c r="M50" s="7">
        <v>35</v>
      </c>
      <c r="N50" s="7">
        <v>31</v>
      </c>
    </row>
    <row r="51" spans="1:14">
      <c r="A51" s="24" t="s">
        <v>25</v>
      </c>
      <c r="B51" s="7">
        <v>5</v>
      </c>
      <c r="C51" s="12" t="s">
        <v>12</v>
      </c>
      <c r="D51" s="7">
        <v>18</v>
      </c>
      <c r="E51" s="7">
        <v>37</v>
      </c>
      <c r="F51" s="7">
        <v>50</v>
      </c>
      <c r="G51" s="8">
        <v>38</v>
      </c>
      <c r="H51" s="8">
        <v>33</v>
      </c>
      <c r="I51" s="20"/>
      <c r="J51" s="6">
        <v>57</v>
      </c>
      <c r="K51" s="7">
        <v>36</v>
      </c>
      <c r="L51" s="7">
        <v>23</v>
      </c>
      <c r="M51" s="7">
        <v>38</v>
      </c>
      <c r="N51" s="7">
        <v>42</v>
      </c>
    </row>
    <row r="52" spans="1:14">
      <c r="A52" s="24" t="s">
        <v>30</v>
      </c>
      <c r="B52" s="7">
        <v>6</v>
      </c>
      <c r="C52" s="12" t="s">
        <v>12</v>
      </c>
      <c r="D52" s="7">
        <v>0</v>
      </c>
      <c r="E52" s="7">
        <v>3</v>
      </c>
      <c r="F52" s="7">
        <v>15</v>
      </c>
      <c r="G52" s="8">
        <v>29</v>
      </c>
      <c r="H52" s="8">
        <v>29</v>
      </c>
      <c r="I52" s="21"/>
      <c r="J52" s="23">
        <v>47</v>
      </c>
      <c r="K52" s="7">
        <v>36</v>
      </c>
      <c r="L52" s="7">
        <v>46</v>
      </c>
      <c r="M52" s="7">
        <v>39</v>
      </c>
      <c r="N52" s="7">
        <v>37</v>
      </c>
    </row>
    <row r="53" spans="1:14">
      <c r="A53" s="24" t="s">
        <v>33</v>
      </c>
      <c r="B53" s="7">
        <v>7</v>
      </c>
      <c r="C53" s="12" t="s">
        <v>224</v>
      </c>
      <c r="D53" s="7">
        <v>75</v>
      </c>
      <c r="E53" s="7">
        <v>60</v>
      </c>
      <c r="F53" s="7">
        <v>69</v>
      </c>
      <c r="G53" s="8">
        <v>50</v>
      </c>
      <c r="H53" s="8">
        <v>54</v>
      </c>
      <c r="I53" s="20"/>
      <c r="J53" s="7">
        <v>28</v>
      </c>
      <c r="K53" s="6">
        <v>36</v>
      </c>
      <c r="L53" s="7">
        <v>17</v>
      </c>
      <c r="M53" s="7">
        <v>13</v>
      </c>
      <c r="N53" s="7">
        <v>22</v>
      </c>
    </row>
    <row r="54" spans="1:14">
      <c r="A54" s="24" t="s">
        <v>39</v>
      </c>
      <c r="B54" s="7">
        <v>8</v>
      </c>
      <c r="C54" s="12" t="s">
        <v>224</v>
      </c>
      <c r="D54" s="7">
        <v>27</v>
      </c>
      <c r="E54" s="7">
        <v>34</v>
      </c>
      <c r="F54" s="7">
        <v>28</v>
      </c>
      <c r="G54" s="8">
        <v>11</v>
      </c>
      <c r="H54" s="8">
        <v>7</v>
      </c>
      <c r="I54" s="22"/>
      <c r="J54" s="9">
        <v>13</v>
      </c>
      <c r="K54" s="7">
        <v>19</v>
      </c>
      <c r="L54" s="7">
        <v>7</v>
      </c>
      <c r="M54" s="7">
        <v>9</v>
      </c>
      <c r="N54" s="7">
        <v>3</v>
      </c>
    </row>
    <row r="55" spans="1:14">
      <c r="A55" s="25">
        <v>546</v>
      </c>
      <c r="B55" s="7">
        <v>9</v>
      </c>
      <c r="C55" s="12" t="s">
        <v>12</v>
      </c>
      <c r="D55" s="43">
        <v>36</v>
      </c>
      <c r="E55" s="7">
        <v>19</v>
      </c>
      <c r="F55" s="7">
        <v>69</v>
      </c>
      <c r="G55" s="8">
        <v>37</v>
      </c>
      <c r="H55" s="8">
        <v>28</v>
      </c>
      <c r="I55" s="20"/>
      <c r="J55" s="6">
        <v>43</v>
      </c>
      <c r="K55" s="7">
        <v>34</v>
      </c>
      <c r="L55" s="7">
        <v>41</v>
      </c>
      <c r="M55" s="7">
        <v>44</v>
      </c>
      <c r="N55" s="7">
        <v>32</v>
      </c>
    </row>
    <row r="56" spans="1:14">
      <c r="A56" s="24" t="s">
        <v>46</v>
      </c>
      <c r="B56" s="7">
        <v>10</v>
      </c>
      <c r="C56" s="12" t="s">
        <v>12</v>
      </c>
      <c r="D56" s="7">
        <v>54</v>
      </c>
      <c r="E56" s="7">
        <v>52</v>
      </c>
      <c r="F56" s="7">
        <v>59</v>
      </c>
      <c r="G56" s="8">
        <v>42</v>
      </c>
      <c r="H56" s="8">
        <v>49</v>
      </c>
      <c r="I56" s="20"/>
      <c r="J56" s="6">
        <v>48</v>
      </c>
      <c r="K56" s="7">
        <v>45</v>
      </c>
      <c r="L56" s="7">
        <v>35</v>
      </c>
      <c r="M56" s="7">
        <v>37</v>
      </c>
      <c r="N56" s="7">
        <v>35</v>
      </c>
    </row>
    <row r="57" spans="1:14">
      <c r="A57" s="24" t="s">
        <v>50</v>
      </c>
      <c r="B57" s="7">
        <v>11</v>
      </c>
      <c r="C57" s="12" t="s">
        <v>12</v>
      </c>
      <c r="D57" s="7">
        <v>32</v>
      </c>
      <c r="E57" s="7">
        <v>34</v>
      </c>
      <c r="F57" s="7">
        <v>34</v>
      </c>
      <c r="G57" s="7">
        <v>36</v>
      </c>
      <c r="H57" s="45">
        <v>52</v>
      </c>
      <c r="I57" s="11"/>
      <c r="J57" s="7">
        <v>75</v>
      </c>
      <c r="K57" s="7">
        <v>75</v>
      </c>
      <c r="L57" s="7">
        <v>50</v>
      </c>
      <c r="M57" s="7">
        <v>40</v>
      </c>
      <c r="N57" s="7">
        <v>29</v>
      </c>
    </row>
    <row r="58" spans="1:14">
      <c r="A58" s="24" t="s">
        <v>51</v>
      </c>
      <c r="B58" s="7">
        <v>12</v>
      </c>
      <c r="C58" s="12" t="s">
        <v>12</v>
      </c>
      <c r="D58" s="40">
        <v>23</v>
      </c>
      <c r="E58" s="7">
        <v>33</v>
      </c>
      <c r="F58" s="7">
        <v>31</v>
      </c>
      <c r="G58" s="8">
        <v>29</v>
      </c>
      <c r="H58" s="41">
        <v>31</v>
      </c>
      <c r="I58" s="20"/>
      <c r="J58" s="6">
        <v>17</v>
      </c>
      <c r="K58" s="7">
        <v>20</v>
      </c>
      <c r="L58" s="7">
        <v>25</v>
      </c>
      <c r="M58" s="7">
        <v>29</v>
      </c>
      <c r="N58" s="40">
        <v>24</v>
      </c>
    </row>
    <row r="59" spans="1:14">
      <c r="A59" s="24" t="s">
        <v>52</v>
      </c>
      <c r="B59" s="7">
        <v>13</v>
      </c>
      <c r="C59" s="12" t="s">
        <v>12</v>
      </c>
      <c r="D59" s="40">
        <v>31</v>
      </c>
      <c r="E59" s="7">
        <v>54</v>
      </c>
      <c r="F59" s="7">
        <v>67</v>
      </c>
      <c r="G59" s="8">
        <v>75</v>
      </c>
      <c r="H59" s="41">
        <v>75</v>
      </c>
      <c r="I59" s="20"/>
      <c r="J59" s="6">
        <v>75</v>
      </c>
      <c r="K59" s="7">
        <v>75</v>
      </c>
      <c r="L59" s="7">
        <v>75</v>
      </c>
      <c r="M59" s="7">
        <v>75</v>
      </c>
      <c r="N59" s="40">
        <v>75</v>
      </c>
    </row>
    <row r="60" spans="1:14">
      <c r="A60" s="24" t="s">
        <v>53</v>
      </c>
      <c r="B60" s="7">
        <v>14</v>
      </c>
      <c r="C60" s="12" t="s">
        <v>224</v>
      </c>
      <c r="D60" s="7">
        <v>57</v>
      </c>
      <c r="E60" s="7">
        <v>75</v>
      </c>
      <c r="F60" s="7">
        <v>70</v>
      </c>
      <c r="G60" s="8">
        <v>75</v>
      </c>
      <c r="H60" s="8">
        <v>69</v>
      </c>
      <c r="I60" s="20"/>
      <c r="J60" s="6">
        <v>61</v>
      </c>
      <c r="K60" s="7">
        <v>34</v>
      </c>
      <c r="L60" s="7">
        <v>30</v>
      </c>
      <c r="M60" s="7">
        <v>57</v>
      </c>
      <c r="N60" s="7">
        <v>24</v>
      </c>
    </row>
    <row r="61" spans="1:14">
      <c r="A61" s="24" t="s">
        <v>54</v>
      </c>
      <c r="B61" s="7">
        <v>15</v>
      </c>
      <c r="C61" s="12" t="s">
        <v>12</v>
      </c>
      <c r="D61" s="40">
        <v>19</v>
      </c>
      <c r="E61" s="7">
        <v>36</v>
      </c>
      <c r="F61" s="7">
        <v>34</v>
      </c>
      <c r="G61" s="8">
        <v>29</v>
      </c>
      <c r="H61" s="45">
        <v>28</v>
      </c>
      <c r="I61" s="20"/>
      <c r="J61" s="6">
        <v>27</v>
      </c>
      <c r="K61" s="7">
        <v>30</v>
      </c>
      <c r="L61" s="7">
        <v>26</v>
      </c>
      <c r="M61" s="7">
        <v>14</v>
      </c>
      <c r="N61" s="40">
        <v>11</v>
      </c>
    </row>
    <row r="62" spans="1:14">
      <c r="A62" s="24" t="s">
        <v>55</v>
      </c>
      <c r="B62" s="7">
        <v>16</v>
      </c>
      <c r="C62" s="12" t="s">
        <v>12</v>
      </c>
      <c r="D62" s="40">
        <v>16</v>
      </c>
      <c r="E62" s="7">
        <v>25</v>
      </c>
      <c r="F62" s="7">
        <v>34</v>
      </c>
      <c r="G62" s="8">
        <v>52</v>
      </c>
      <c r="H62" s="41">
        <v>52</v>
      </c>
      <c r="I62" s="20"/>
      <c r="J62" s="6">
        <v>75</v>
      </c>
      <c r="K62" s="7">
        <v>75</v>
      </c>
      <c r="L62" s="7">
        <v>75</v>
      </c>
      <c r="M62" s="7">
        <v>65</v>
      </c>
      <c r="N62" s="40">
        <v>61</v>
      </c>
    </row>
    <row r="65" spans="1:14">
      <c r="A65" s="10"/>
      <c r="B65" s="10"/>
      <c r="C65" s="10" t="s">
        <v>208</v>
      </c>
      <c r="D65" s="13" t="s">
        <v>225</v>
      </c>
      <c r="E65" s="13" t="s">
        <v>225</v>
      </c>
      <c r="F65" s="13" t="s">
        <v>225</v>
      </c>
      <c r="G65" s="13" t="s">
        <v>225</v>
      </c>
      <c r="H65" s="13" t="s">
        <v>225</v>
      </c>
      <c r="I65" s="13" t="s">
        <v>225</v>
      </c>
      <c r="J65" s="13" t="s">
        <v>225</v>
      </c>
      <c r="K65" s="13" t="s">
        <v>225</v>
      </c>
      <c r="L65" s="13" t="s">
        <v>225</v>
      </c>
      <c r="M65" s="13" t="s">
        <v>225</v>
      </c>
      <c r="N65" s="13" t="s">
        <v>225</v>
      </c>
    </row>
    <row r="66" spans="1:14">
      <c r="A66" s="5" t="s">
        <v>228</v>
      </c>
      <c r="B66" s="10"/>
      <c r="C66" s="10"/>
      <c r="D66" s="5" t="s">
        <v>211</v>
      </c>
      <c r="E66" s="5" t="s">
        <v>212</v>
      </c>
      <c r="F66" s="5" t="s">
        <v>213</v>
      </c>
      <c r="G66" s="5" t="s">
        <v>214</v>
      </c>
      <c r="H66" s="5" t="s">
        <v>215</v>
      </c>
      <c r="I66" s="5" t="s">
        <v>216</v>
      </c>
      <c r="J66" s="5" t="s">
        <v>217</v>
      </c>
      <c r="K66" s="5" t="s">
        <v>218</v>
      </c>
      <c r="L66" s="5" t="s">
        <v>219</v>
      </c>
      <c r="M66" s="5" t="s">
        <v>220</v>
      </c>
      <c r="N66" s="5" t="s">
        <v>221</v>
      </c>
    </row>
    <row r="67" spans="1:14">
      <c r="A67" s="10" t="s">
        <v>222</v>
      </c>
      <c r="B67" s="10" t="s">
        <v>223</v>
      </c>
      <c r="C67" s="10" t="s">
        <v>8</v>
      </c>
      <c r="D67" s="2">
        <v>44221</v>
      </c>
      <c r="E67" s="2">
        <v>44222</v>
      </c>
      <c r="F67" s="2">
        <v>44223</v>
      </c>
      <c r="G67" s="2">
        <v>44224</v>
      </c>
      <c r="H67" s="2">
        <v>44225</v>
      </c>
      <c r="I67" s="2">
        <v>44226</v>
      </c>
      <c r="J67" s="2">
        <v>44227</v>
      </c>
      <c r="K67" s="2">
        <v>44228</v>
      </c>
      <c r="L67" s="2">
        <v>44229</v>
      </c>
      <c r="M67" s="2">
        <v>44230</v>
      </c>
      <c r="N67" s="2">
        <v>44231</v>
      </c>
    </row>
    <row r="68" spans="1:14">
      <c r="A68" s="24" t="s">
        <v>10</v>
      </c>
      <c r="B68" s="7">
        <v>1</v>
      </c>
      <c r="C68" s="12" t="s">
        <v>12</v>
      </c>
      <c r="D68" s="7">
        <v>105</v>
      </c>
      <c r="E68" s="7">
        <v>79</v>
      </c>
      <c r="F68" s="47">
        <v>126</v>
      </c>
      <c r="G68" s="8">
        <v>89</v>
      </c>
      <c r="H68" s="8">
        <v>103</v>
      </c>
      <c r="I68" s="20"/>
      <c r="J68" s="6">
        <v>235</v>
      </c>
      <c r="K68" s="7">
        <v>292</v>
      </c>
      <c r="L68" s="7">
        <v>263</v>
      </c>
      <c r="M68" s="7">
        <v>180</v>
      </c>
      <c r="N68" s="7">
        <v>177</v>
      </c>
    </row>
    <row r="69" spans="1:14">
      <c r="A69" s="24" t="s">
        <v>18</v>
      </c>
      <c r="B69" s="7">
        <v>2</v>
      </c>
      <c r="C69" s="12" t="s">
        <v>12</v>
      </c>
      <c r="D69" s="7">
        <v>175</v>
      </c>
      <c r="E69" s="7">
        <v>282</v>
      </c>
      <c r="F69" s="7">
        <v>454</v>
      </c>
      <c r="G69" s="8">
        <v>377</v>
      </c>
      <c r="H69" s="8">
        <v>373</v>
      </c>
      <c r="I69" s="20"/>
      <c r="J69" s="6">
        <v>462</v>
      </c>
      <c r="K69" s="7">
        <v>434</v>
      </c>
      <c r="L69" s="7">
        <v>461</v>
      </c>
      <c r="M69" s="7">
        <v>423</v>
      </c>
      <c r="N69" s="7">
        <v>469</v>
      </c>
    </row>
    <row r="70" spans="1:14">
      <c r="A70" s="24">
        <v>544</v>
      </c>
      <c r="B70" s="7">
        <v>3</v>
      </c>
      <c r="C70" s="12" t="s">
        <v>12</v>
      </c>
      <c r="D70" s="7">
        <v>41</v>
      </c>
      <c r="E70" s="7">
        <v>60</v>
      </c>
      <c r="F70" s="7">
        <v>70</v>
      </c>
      <c r="G70" s="45">
        <v>99</v>
      </c>
      <c r="H70" s="45">
        <v>279</v>
      </c>
      <c r="I70" s="20"/>
      <c r="J70" s="6">
        <v>219</v>
      </c>
      <c r="K70" s="7">
        <v>232</v>
      </c>
      <c r="L70" s="7">
        <v>260</v>
      </c>
      <c r="M70" s="7">
        <v>255</v>
      </c>
      <c r="N70" s="7">
        <v>274</v>
      </c>
    </row>
    <row r="71" spans="1:14">
      <c r="A71" s="25">
        <v>545</v>
      </c>
      <c r="B71" s="7">
        <v>4</v>
      </c>
      <c r="C71" s="12" t="s">
        <v>12</v>
      </c>
      <c r="D71" s="7">
        <v>69</v>
      </c>
      <c r="E71" s="7">
        <v>149</v>
      </c>
      <c r="F71" s="7">
        <v>329</v>
      </c>
      <c r="G71" s="8">
        <v>230</v>
      </c>
      <c r="H71" s="8">
        <v>230</v>
      </c>
      <c r="I71" s="20"/>
      <c r="J71" s="6">
        <v>164</v>
      </c>
      <c r="K71" s="7">
        <v>80</v>
      </c>
      <c r="L71" s="7">
        <v>74</v>
      </c>
      <c r="M71" s="7">
        <v>121</v>
      </c>
      <c r="N71" s="7">
        <v>56</v>
      </c>
    </row>
    <row r="72" spans="1:14">
      <c r="A72" s="24" t="s">
        <v>25</v>
      </c>
      <c r="B72" s="7">
        <v>5</v>
      </c>
      <c r="C72" s="12" t="s">
        <v>12</v>
      </c>
      <c r="D72" s="7">
        <v>30</v>
      </c>
      <c r="E72" s="7">
        <v>53</v>
      </c>
      <c r="F72" s="7">
        <v>67</v>
      </c>
      <c r="G72" s="8">
        <v>48</v>
      </c>
      <c r="H72" s="8">
        <v>58</v>
      </c>
      <c r="I72" s="20"/>
      <c r="J72" s="6">
        <v>200</v>
      </c>
      <c r="K72" s="7">
        <v>121</v>
      </c>
      <c r="L72" s="7">
        <v>39</v>
      </c>
      <c r="M72" s="7">
        <v>159</v>
      </c>
      <c r="N72" s="7">
        <v>142</v>
      </c>
    </row>
    <row r="73" spans="1:14">
      <c r="A73" s="24" t="s">
        <v>30</v>
      </c>
      <c r="B73" s="7">
        <v>6</v>
      </c>
      <c r="C73" s="12" t="s">
        <v>12</v>
      </c>
      <c r="D73" s="7">
        <v>0</v>
      </c>
      <c r="E73" s="7">
        <v>4</v>
      </c>
      <c r="F73" s="7">
        <v>25</v>
      </c>
      <c r="G73" s="8">
        <v>60</v>
      </c>
      <c r="H73" s="8">
        <v>106</v>
      </c>
      <c r="I73" s="21"/>
      <c r="J73" s="23">
        <v>150</v>
      </c>
      <c r="K73" s="7">
        <v>117</v>
      </c>
      <c r="L73" s="7">
        <v>129</v>
      </c>
      <c r="M73" s="7">
        <v>123</v>
      </c>
      <c r="N73" s="7">
        <v>106</v>
      </c>
    </row>
    <row r="74" spans="1:14">
      <c r="A74" s="24" t="s">
        <v>33</v>
      </c>
      <c r="B74" s="7">
        <v>7</v>
      </c>
      <c r="C74" s="12" t="s">
        <v>224</v>
      </c>
      <c r="D74" s="7">
        <v>117</v>
      </c>
      <c r="E74" s="7">
        <v>104</v>
      </c>
      <c r="F74" s="7">
        <v>180</v>
      </c>
      <c r="G74" s="8">
        <v>86</v>
      </c>
      <c r="H74" s="8">
        <v>85</v>
      </c>
      <c r="I74" s="20"/>
      <c r="J74" s="7">
        <v>39</v>
      </c>
      <c r="K74" s="6">
        <v>46</v>
      </c>
      <c r="L74" s="7">
        <v>19</v>
      </c>
      <c r="M74" s="7">
        <v>15</v>
      </c>
      <c r="N74" s="7">
        <v>35</v>
      </c>
    </row>
    <row r="75" spans="1:14">
      <c r="A75" s="24" t="s">
        <v>39</v>
      </c>
      <c r="B75" s="7">
        <v>8</v>
      </c>
      <c r="C75" s="12" t="s">
        <v>224</v>
      </c>
      <c r="D75" s="7">
        <v>48</v>
      </c>
      <c r="E75" s="7">
        <v>58</v>
      </c>
      <c r="F75" s="7">
        <v>54</v>
      </c>
      <c r="G75" s="8">
        <v>14</v>
      </c>
      <c r="H75" s="8">
        <v>10</v>
      </c>
      <c r="I75" s="22"/>
      <c r="J75" s="9">
        <v>19</v>
      </c>
      <c r="K75" s="7">
        <v>33</v>
      </c>
      <c r="L75" s="7">
        <v>10</v>
      </c>
      <c r="M75" s="7">
        <v>15</v>
      </c>
      <c r="N75" s="7">
        <v>5</v>
      </c>
    </row>
    <row r="76" spans="1:14">
      <c r="A76" s="25">
        <v>546</v>
      </c>
      <c r="B76" s="7">
        <v>9</v>
      </c>
      <c r="C76" s="12" t="s">
        <v>12</v>
      </c>
      <c r="D76" s="7">
        <v>37</v>
      </c>
      <c r="E76" s="7">
        <v>25</v>
      </c>
      <c r="F76" s="7">
        <v>90</v>
      </c>
      <c r="G76" s="8">
        <v>42</v>
      </c>
      <c r="H76" s="8">
        <v>31</v>
      </c>
      <c r="I76" s="20"/>
      <c r="J76" s="6">
        <v>50</v>
      </c>
      <c r="K76" s="7">
        <v>37</v>
      </c>
      <c r="L76" s="7">
        <v>56</v>
      </c>
      <c r="M76" s="7">
        <v>59</v>
      </c>
      <c r="N76" s="7">
        <v>49</v>
      </c>
    </row>
    <row r="77" spans="1:14">
      <c r="A77" s="24" t="s">
        <v>46</v>
      </c>
      <c r="B77" s="7">
        <v>10</v>
      </c>
      <c r="C77" s="12" t="s">
        <v>12</v>
      </c>
      <c r="D77" s="7">
        <v>113</v>
      </c>
      <c r="E77" s="7">
        <v>127</v>
      </c>
      <c r="F77" s="7">
        <v>128</v>
      </c>
      <c r="G77" s="8">
        <v>62</v>
      </c>
      <c r="H77" s="8">
        <v>85</v>
      </c>
      <c r="I77" s="20"/>
      <c r="J77" s="6">
        <v>79</v>
      </c>
      <c r="K77" s="7">
        <v>86</v>
      </c>
      <c r="L77" s="7">
        <v>58</v>
      </c>
      <c r="M77" s="7">
        <v>62</v>
      </c>
      <c r="N77" s="7">
        <v>58</v>
      </c>
    </row>
    <row r="78" spans="1:14">
      <c r="A78" s="24" t="s">
        <v>50</v>
      </c>
      <c r="B78" s="7">
        <v>11</v>
      </c>
      <c r="C78" s="12" t="s">
        <v>12</v>
      </c>
      <c r="D78" s="7">
        <v>38</v>
      </c>
      <c r="E78" s="7">
        <v>39</v>
      </c>
      <c r="F78" s="7">
        <v>42</v>
      </c>
      <c r="G78" s="7">
        <v>72</v>
      </c>
      <c r="H78" s="45">
        <v>76</v>
      </c>
      <c r="I78" s="11"/>
      <c r="J78" s="7">
        <v>128</v>
      </c>
      <c r="K78" s="7">
        <v>157</v>
      </c>
      <c r="L78" s="7">
        <v>70</v>
      </c>
      <c r="M78" s="7">
        <v>72</v>
      </c>
      <c r="N78" s="7">
        <v>61</v>
      </c>
    </row>
    <row r="79" spans="1:14">
      <c r="A79" s="24" t="s">
        <v>51</v>
      </c>
      <c r="B79" s="7">
        <v>12</v>
      </c>
      <c r="C79" s="12" t="s">
        <v>12</v>
      </c>
      <c r="D79" s="40">
        <v>39</v>
      </c>
      <c r="E79" s="7">
        <v>61</v>
      </c>
      <c r="F79" s="7">
        <v>65</v>
      </c>
      <c r="G79" s="8">
        <v>54</v>
      </c>
      <c r="H79" s="41">
        <v>62</v>
      </c>
      <c r="I79" s="20"/>
      <c r="J79" s="6">
        <v>25</v>
      </c>
      <c r="K79" s="7">
        <v>33</v>
      </c>
      <c r="L79" s="7">
        <v>38</v>
      </c>
      <c r="M79" s="7">
        <v>56</v>
      </c>
      <c r="N79" s="40">
        <v>36</v>
      </c>
    </row>
    <row r="80" spans="1:14">
      <c r="A80" s="24" t="s">
        <v>52</v>
      </c>
      <c r="B80" s="7">
        <v>13</v>
      </c>
      <c r="C80" s="12" t="s">
        <v>12</v>
      </c>
      <c r="D80" s="40">
        <v>70</v>
      </c>
      <c r="E80" s="7">
        <v>365</v>
      </c>
      <c r="F80" s="7">
        <v>485</v>
      </c>
      <c r="G80" s="8">
        <v>372</v>
      </c>
      <c r="H80" s="41">
        <v>581</v>
      </c>
      <c r="I80" s="20"/>
      <c r="J80" s="6">
        <v>674</v>
      </c>
      <c r="K80" s="7">
        <v>435</v>
      </c>
      <c r="L80" s="7">
        <v>603</v>
      </c>
      <c r="M80" s="7">
        <v>691</v>
      </c>
      <c r="N80" s="40">
        <v>503</v>
      </c>
    </row>
    <row r="81" spans="1:14">
      <c r="A81" s="24" t="s">
        <v>53</v>
      </c>
      <c r="B81" s="7">
        <v>14</v>
      </c>
      <c r="C81" s="12" t="s">
        <v>224</v>
      </c>
      <c r="D81" s="7">
        <v>110</v>
      </c>
      <c r="E81" s="7">
        <v>180</v>
      </c>
      <c r="F81" s="7">
        <v>130</v>
      </c>
      <c r="G81" s="8">
        <v>153</v>
      </c>
      <c r="H81" s="8">
        <v>117</v>
      </c>
      <c r="I81" s="20"/>
      <c r="J81" s="6">
        <v>114</v>
      </c>
      <c r="K81" s="7">
        <v>67</v>
      </c>
      <c r="L81" s="7">
        <v>60</v>
      </c>
      <c r="M81" s="7">
        <v>156</v>
      </c>
      <c r="N81" s="7">
        <v>42</v>
      </c>
    </row>
    <row r="82" spans="1:14">
      <c r="A82" s="24" t="s">
        <v>54</v>
      </c>
      <c r="B82" s="7">
        <v>15</v>
      </c>
      <c r="C82" s="12" t="s">
        <v>12</v>
      </c>
      <c r="D82" s="40">
        <v>43</v>
      </c>
      <c r="E82" s="7">
        <v>87</v>
      </c>
      <c r="F82" s="7">
        <v>76</v>
      </c>
      <c r="G82" s="8">
        <v>58</v>
      </c>
      <c r="H82" s="45">
        <v>58</v>
      </c>
      <c r="I82" s="20"/>
      <c r="J82" s="6">
        <v>54</v>
      </c>
      <c r="K82" s="7">
        <v>98</v>
      </c>
      <c r="L82" s="7">
        <v>64</v>
      </c>
      <c r="M82" s="7">
        <v>32</v>
      </c>
      <c r="N82" s="40">
        <v>22</v>
      </c>
    </row>
    <row r="83" spans="1:14">
      <c r="A83" s="24" t="s">
        <v>55</v>
      </c>
      <c r="B83" s="7">
        <v>16</v>
      </c>
      <c r="C83" s="12" t="s">
        <v>12</v>
      </c>
      <c r="D83" s="40">
        <v>22</v>
      </c>
      <c r="E83" s="7">
        <v>48</v>
      </c>
      <c r="F83" s="7">
        <v>67</v>
      </c>
      <c r="G83" s="8">
        <v>139</v>
      </c>
      <c r="H83" s="41">
        <v>162</v>
      </c>
      <c r="I83" s="20"/>
      <c r="J83" s="6">
        <v>196</v>
      </c>
      <c r="K83" s="7">
        <v>241</v>
      </c>
      <c r="L83" s="7">
        <v>189</v>
      </c>
      <c r="M83" s="7">
        <v>146</v>
      </c>
      <c r="N83" s="40">
        <v>158</v>
      </c>
    </row>
    <row r="86" spans="1:14">
      <c r="A86" s="10"/>
      <c r="B86" s="10"/>
      <c r="C86" s="10" t="s">
        <v>208</v>
      </c>
      <c r="D86" s="13" t="s">
        <v>225</v>
      </c>
      <c r="E86" s="13" t="s">
        <v>225</v>
      </c>
      <c r="F86" s="13" t="s">
        <v>225</v>
      </c>
      <c r="G86" s="13" t="s">
        <v>225</v>
      </c>
      <c r="H86" s="13" t="s">
        <v>225</v>
      </c>
      <c r="I86" s="13" t="s">
        <v>225</v>
      </c>
      <c r="J86" s="13" t="s">
        <v>225</v>
      </c>
      <c r="K86" s="13" t="s">
        <v>225</v>
      </c>
      <c r="L86" s="13" t="s">
        <v>225</v>
      </c>
      <c r="M86" s="13" t="s">
        <v>225</v>
      </c>
      <c r="N86" s="13" t="s">
        <v>225</v>
      </c>
    </row>
    <row r="87" spans="1:14">
      <c r="A87" s="5" t="s">
        <v>229</v>
      </c>
      <c r="B87" s="10"/>
      <c r="C87" s="10"/>
      <c r="D87" s="5" t="s">
        <v>211</v>
      </c>
      <c r="E87" s="5" t="s">
        <v>212</v>
      </c>
      <c r="F87" s="5" t="s">
        <v>213</v>
      </c>
      <c r="G87" s="5" t="s">
        <v>214</v>
      </c>
      <c r="H87" s="5" t="s">
        <v>215</v>
      </c>
      <c r="I87" s="5" t="s">
        <v>216</v>
      </c>
      <c r="J87" s="5" t="s">
        <v>217</v>
      </c>
      <c r="K87" s="5" t="s">
        <v>218</v>
      </c>
      <c r="L87" s="5" t="s">
        <v>219</v>
      </c>
      <c r="M87" s="5" t="s">
        <v>220</v>
      </c>
      <c r="N87" s="5" t="s">
        <v>221</v>
      </c>
    </row>
    <row r="88" spans="1:14">
      <c r="A88" s="10" t="s">
        <v>222</v>
      </c>
      <c r="B88" s="10" t="s">
        <v>223</v>
      </c>
      <c r="C88" s="10" t="s">
        <v>8</v>
      </c>
      <c r="D88" s="2">
        <v>44221</v>
      </c>
      <c r="E88" s="2">
        <v>44222</v>
      </c>
      <c r="F88" s="2">
        <v>44223</v>
      </c>
      <c r="G88" s="2">
        <v>44224</v>
      </c>
      <c r="H88" s="2">
        <v>44225</v>
      </c>
      <c r="I88" s="2">
        <v>44226</v>
      </c>
      <c r="J88" s="2">
        <v>44227</v>
      </c>
      <c r="K88" s="2">
        <v>44228</v>
      </c>
      <c r="L88" s="2">
        <v>44229</v>
      </c>
      <c r="M88" s="2">
        <v>44230</v>
      </c>
      <c r="N88" s="2">
        <v>44231</v>
      </c>
    </row>
    <row r="89" spans="1:14">
      <c r="A89" s="24" t="s">
        <v>10</v>
      </c>
      <c r="B89" s="7">
        <v>1</v>
      </c>
      <c r="C89" s="12" t="s">
        <v>12</v>
      </c>
      <c r="D89" s="7">
        <v>67</v>
      </c>
      <c r="E89" s="7">
        <v>43</v>
      </c>
      <c r="F89" s="47">
        <v>34</v>
      </c>
      <c r="G89" s="8">
        <v>72</v>
      </c>
      <c r="H89" s="8">
        <v>54</v>
      </c>
      <c r="I89" s="20"/>
      <c r="J89" s="6">
        <v>176</v>
      </c>
      <c r="K89" s="7">
        <v>67</v>
      </c>
      <c r="L89" s="7">
        <v>68</v>
      </c>
      <c r="M89" s="7">
        <v>160</v>
      </c>
      <c r="N89" s="7">
        <v>150</v>
      </c>
    </row>
    <row r="90" spans="1:14">
      <c r="A90" s="24" t="s">
        <v>18</v>
      </c>
      <c r="B90" s="7">
        <v>2</v>
      </c>
      <c r="C90" s="12" t="s">
        <v>12</v>
      </c>
      <c r="D90" s="7">
        <v>24</v>
      </c>
      <c r="E90" s="7">
        <v>10</v>
      </c>
      <c r="F90" s="7">
        <v>21</v>
      </c>
      <c r="G90" s="8">
        <v>8</v>
      </c>
      <c r="H90" s="8">
        <v>6</v>
      </c>
      <c r="I90" s="20"/>
      <c r="J90" s="6">
        <v>11</v>
      </c>
      <c r="K90" s="7">
        <v>8</v>
      </c>
      <c r="L90" s="7">
        <v>15</v>
      </c>
      <c r="M90" s="7">
        <v>35</v>
      </c>
      <c r="N90" s="7">
        <v>9</v>
      </c>
    </row>
    <row r="91" spans="1:14">
      <c r="A91" s="24">
        <v>544</v>
      </c>
      <c r="B91" s="7">
        <v>3</v>
      </c>
      <c r="C91" s="12" t="s">
        <v>12</v>
      </c>
      <c r="D91" s="7">
        <v>24</v>
      </c>
      <c r="E91" s="7">
        <v>60</v>
      </c>
      <c r="F91" s="7">
        <v>25</v>
      </c>
      <c r="G91" s="45">
        <v>21</v>
      </c>
      <c r="H91" s="45">
        <v>7</v>
      </c>
      <c r="I91" s="20"/>
      <c r="J91" s="6">
        <v>6</v>
      </c>
      <c r="K91" s="7">
        <v>28</v>
      </c>
      <c r="L91" s="7">
        <v>10</v>
      </c>
      <c r="M91" s="7">
        <v>12</v>
      </c>
      <c r="N91" s="7">
        <v>11</v>
      </c>
    </row>
    <row r="92" spans="1:14">
      <c r="A92" s="25">
        <v>545</v>
      </c>
      <c r="B92" s="7">
        <v>4</v>
      </c>
      <c r="C92" s="12" t="s">
        <v>12</v>
      </c>
      <c r="D92" s="7">
        <v>45</v>
      </c>
      <c r="E92" s="7">
        <v>55</v>
      </c>
      <c r="F92" s="7">
        <v>36</v>
      </c>
      <c r="G92" s="8">
        <v>7</v>
      </c>
      <c r="H92" s="8">
        <v>3</v>
      </c>
      <c r="I92" s="20"/>
      <c r="J92" s="6">
        <v>25</v>
      </c>
      <c r="K92" s="7">
        <v>12</v>
      </c>
      <c r="L92" s="7">
        <v>10</v>
      </c>
      <c r="M92" s="7">
        <v>10</v>
      </c>
      <c r="N92" s="7">
        <v>2</v>
      </c>
    </row>
    <row r="93" spans="1:14">
      <c r="A93" s="24" t="s">
        <v>25</v>
      </c>
      <c r="B93" s="7">
        <v>5</v>
      </c>
      <c r="C93" s="12" t="s">
        <v>12</v>
      </c>
      <c r="D93" s="7">
        <v>20</v>
      </c>
      <c r="E93" s="7">
        <v>62</v>
      </c>
      <c r="F93" s="7">
        <v>53</v>
      </c>
      <c r="G93" s="8">
        <v>41</v>
      </c>
      <c r="H93" s="8">
        <v>38</v>
      </c>
      <c r="I93" s="20"/>
      <c r="J93" s="6">
        <v>81</v>
      </c>
      <c r="K93" s="7">
        <v>31</v>
      </c>
      <c r="L93" s="7">
        <v>3</v>
      </c>
      <c r="M93" s="7">
        <v>32</v>
      </c>
      <c r="N93" s="7">
        <v>14</v>
      </c>
    </row>
    <row r="94" spans="1:14">
      <c r="A94" s="24" t="s">
        <v>30</v>
      </c>
      <c r="B94" s="7">
        <v>6</v>
      </c>
      <c r="C94" s="12" t="s">
        <v>12</v>
      </c>
      <c r="D94" s="7">
        <v>3</v>
      </c>
      <c r="E94" s="7">
        <v>2</v>
      </c>
      <c r="F94" s="7">
        <v>2</v>
      </c>
      <c r="G94" s="8">
        <v>4</v>
      </c>
      <c r="H94" s="8">
        <v>13</v>
      </c>
      <c r="I94" s="21"/>
      <c r="J94" s="23">
        <v>8</v>
      </c>
      <c r="K94" s="7">
        <v>1</v>
      </c>
      <c r="L94" s="7">
        <v>1</v>
      </c>
      <c r="M94" s="7">
        <v>2</v>
      </c>
      <c r="N94" s="7">
        <v>15</v>
      </c>
    </row>
    <row r="95" spans="1:14">
      <c r="A95" s="24" t="s">
        <v>33</v>
      </c>
      <c r="B95" s="7">
        <v>7</v>
      </c>
      <c r="C95" s="12" t="s">
        <v>224</v>
      </c>
      <c r="D95" s="7">
        <v>34</v>
      </c>
      <c r="E95" s="7">
        <v>59</v>
      </c>
      <c r="F95" s="7">
        <v>69</v>
      </c>
      <c r="G95" s="8">
        <v>21</v>
      </c>
      <c r="H95" s="8">
        <v>19</v>
      </c>
      <c r="I95" s="20"/>
      <c r="J95" s="7">
        <v>16</v>
      </c>
      <c r="K95" s="6">
        <v>7</v>
      </c>
      <c r="L95" s="7">
        <v>3</v>
      </c>
      <c r="M95" s="7">
        <v>6</v>
      </c>
      <c r="N95" s="7">
        <v>5</v>
      </c>
    </row>
    <row r="96" spans="1:14">
      <c r="A96" s="24" t="s">
        <v>39</v>
      </c>
      <c r="B96" s="7">
        <v>8</v>
      </c>
      <c r="C96" s="12" t="s">
        <v>224</v>
      </c>
      <c r="D96" s="7">
        <v>19</v>
      </c>
      <c r="E96" s="7">
        <v>5</v>
      </c>
      <c r="F96" s="7">
        <v>12</v>
      </c>
      <c r="G96" s="8">
        <v>1</v>
      </c>
      <c r="H96" s="8">
        <v>4</v>
      </c>
      <c r="I96" s="22"/>
      <c r="J96" s="9">
        <v>4</v>
      </c>
      <c r="K96" s="7">
        <v>8</v>
      </c>
      <c r="L96" s="7">
        <v>1</v>
      </c>
      <c r="M96" s="7">
        <v>2</v>
      </c>
      <c r="N96" s="7">
        <v>5</v>
      </c>
    </row>
    <row r="97" spans="1:14">
      <c r="A97" s="25">
        <v>546</v>
      </c>
      <c r="B97" s="7">
        <v>9</v>
      </c>
      <c r="C97" s="12" t="s">
        <v>12</v>
      </c>
      <c r="D97" s="7">
        <v>53</v>
      </c>
      <c r="E97" s="7">
        <v>89</v>
      </c>
      <c r="F97" s="7">
        <v>44</v>
      </c>
      <c r="G97" s="8">
        <v>55</v>
      </c>
      <c r="H97" s="8">
        <v>21</v>
      </c>
      <c r="I97" s="20"/>
      <c r="J97" s="6">
        <v>12</v>
      </c>
      <c r="K97" s="7">
        <v>33</v>
      </c>
      <c r="L97" s="7">
        <v>5</v>
      </c>
      <c r="M97" s="7">
        <v>8</v>
      </c>
      <c r="N97" s="7">
        <v>37</v>
      </c>
    </row>
    <row r="98" spans="1:14">
      <c r="A98" s="24" t="s">
        <v>46</v>
      </c>
      <c r="B98" s="7">
        <v>10</v>
      </c>
      <c r="C98" s="12" t="s">
        <v>12</v>
      </c>
      <c r="D98" s="7">
        <v>49</v>
      </c>
      <c r="E98" s="7">
        <v>15</v>
      </c>
      <c r="F98" s="7">
        <v>37</v>
      </c>
      <c r="G98" s="8">
        <v>8</v>
      </c>
      <c r="H98" s="8">
        <v>16</v>
      </c>
      <c r="I98" s="20"/>
      <c r="J98" s="6">
        <v>9</v>
      </c>
      <c r="K98" s="7">
        <v>23</v>
      </c>
      <c r="L98" s="7">
        <v>11</v>
      </c>
      <c r="M98" s="7">
        <v>29</v>
      </c>
      <c r="N98" s="7">
        <v>26</v>
      </c>
    </row>
    <row r="99" spans="1:14">
      <c r="A99" s="24" t="s">
        <v>50</v>
      </c>
      <c r="B99" s="7">
        <v>11</v>
      </c>
      <c r="C99" s="12" t="s">
        <v>12</v>
      </c>
      <c r="D99" s="7">
        <v>19</v>
      </c>
      <c r="E99" s="7">
        <v>7</v>
      </c>
      <c r="F99" s="7">
        <v>8</v>
      </c>
      <c r="G99" s="7">
        <v>11</v>
      </c>
      <c r="H99" s="45">
        <v>4</v>
      </c>
      <c r="I99" s="11"/>
      <c r="J99" s="7">
        <v>12</v>
      </c>
      <c r="K99" s="7">
        <v>15</v>
      </c>
      <c r="L99" s="7">
        <v>41</v>
      </c>
      <c r="M99" s="7">
        <v>9</v>
      </c>
      <c r="N99" s="7">
        <v>20</v>
      </c>
    </row>
    <row r="100" spans="1:14">
      <c r="A100" s="24" t="s">
        <v>51</v>
      </c>
      <c r="B100" s="7">
        <v>12</v>
      </c>
      <c r="C100" s="12" t="s">
        <v>12</v>
      </c>
      <c r="D100" s="40">
        <v>17</v>
      </c>
      <c r="E100" s="7">
        <v>4</v>
      </c>
      <c r="F100" s="7">
        <v>28</v>
      </c>
      <c r="G100" s="8">
        <v>5</v>
      </c>
      <c r="H100" s="41">
        <v>3</v>
      </c>
      <c r="I100" s="20"/>
      <c r="J100" s="6">
        <v>1</v>
      </c>
      <c r="K100" s="7">
        <v>6</v>
      </c>
      <c r="L100" s="7">
        <v>5</v>
      </c>
      <c r="M100" s="7">
        <v>9</v>
      </c>
      <c r="N100" s="40">
        <v>6</v>
      </c>
    </row>
    <row r="101" spans="1:14">
      <c r="A101" s="24" t="s">
        <v>52</v>
      </c>
      <c r="B101" s="7">
        <v>13</v>
      </c>
      <c r="C101" s="12" t="s">
        <v>12</v>
      </c>
      <c r="D101" s="40">
        <v>5</v>
      </c>
      <c r="E101" s="7">
        <v>37</v>
      </c>
      <c r="F101" s="7">
        <v>27</v>
      </c>
      <c r="G101" s="8">
        <v>0</v>
      </c>
      <c r="H101" s="41">
        <v>3</v>
      </c>
      <c r="I101" s="20"/>
      <c r="J101" s="6">
        <v>9</v>
      </c>
      <c r="K101" s="7">
        <v>7</v>
      </c>
      <c r="L101" s="7">
        <v>22</v>
      </c>
      <c r="M101" s="7">
        <v>9</v>
      </c>
      <c r="N101" s="40">
        <v>3</v>
      </c>
    </row>
    <row r="102" spans="1:14">
      <c r="A102" s="24" t="s">
        <v>53</v>
      </c>
      <c r="B102" s="7">
        <v>14</v>
      </c>
      <c r="C102" s="12" t="s">
        <v>224</v>
      </c>
      <c r="D102" s="7">
        <v>116</v>
      </c>
      <c r="E102" s="7">
        <v>74</v>
      </c>
      <c r="F102" s="7">
        <v>119</v>
      </c>
      <c r="G102" s="8">
        <v>43</v>
      </c>
      <c r="H102" s="8">
        <v>66</v>
      </c>
      <c r="I102" s="20"/>
      <c r="J102" s="6">
        <v>78</v>
      </c>
      <c r="K102" s="7">
        <v>103</v>
      </c>
      <c r="L102" s="7">
        <v>56</v>
      </c>
      <c r="M102" s="7">
        <v>76</v>
      </c>
      <c r="N102" s="7">
        <v>57</v>
      </c>
    </row>
    <row r="103" spans="1:14">
      <c r="A103" s="24" t="s">
        <v>54</v>
      </c>
      <c r="B103" s="7">
        <v>15</v>
      </c>
      <c r="C103" s="12" t="s">
        <v>12</v>
      </c>
      <c r="D103" s="40">
        <v>30</v>
      </c>
      <c r="E103" s="7">
        <v>6</v>
      </c>
      <c r="F103" s="7">
        <v>10</v>
      </c>
      <c r="G103" s="8">
        <v>9</v>
      </c>
      <c r="H103" s="45">
        <v>12</v>
      </c>
      <c r="I103" s="20"/>
      <c r="J103" s="6">
        <v>14</v>
      </c>
      <c r="K103" s="7">
        <v>42</v>
      </c>
      <c r="L103" s="7">
        <v>76</v>
      </c>
      <c r="M103" s="7">
        <v>63</v>
      </c>
      <c r="N103" s="40">
        <v>19</v>
      </c>
    </row>
    <row r="104" spans="1:14">
      <c r="A104" s="24" t="s">
        <v>55</v>
      </c>
      <c r="B104" s="7">
        <v>16</v>
      </c>
      <c r="C104" s="12" t="s">
        <v>12</v>
      </c>
      <c r="D104" s="40">
        <v>8</v>
      </c>
      <c r="E104" s="7">
        <v>1</v>
      </c>
      <c r="F104" s="7">
        <v>1</v>
      </c>
      <c r="G104" s="8">
        <v>3</v>
      </c>
      <c r="H104" s="41">
        <v>2</v>
      </c>
      <c r="I104" s="20"/>
      <c r="J104" s="6">
        <v>2</v>
      </c>
      <c r="K104" s="7">
        <v>3</v>
      </c>
      <c r="L104" s="7">
        <v>12</v>
      </c>
      <c r="M104" s="7">
        <v>6</v>
      </c>
      <c r="N104" s="40">
        <v>18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Z46"/>
  <sheetViews>
    <sheetView topLeftCell="A22" workbookViewId="0">
      <selection activeCell="D29" sqref="D29"/>
    </sheetView>
  </sheetViews>
  <sheetFormatPr defaultRowHeight="14.45"/>
  <cols>
    <col min="1" max="1" width="11.5703125" customWidth="1"/>
    <col min="2" max="2" width="18.85546875" bestFit="1" customWidth="1"/>
    <col min="3" max="3" width="13.7109375" bestFit="1" customWidth="1"/>
    <col min="4" max="4" width="6.42578125" bestFit="1" customWidth="1"/>
    <col min="14" max="14" width="12.42578125" bestFit="1" customWidth="1"/>
    <col min="15" max="15" width="8.42578125" bestFit="1" customWidth="1"/>
    <col min="16" max="16" width="40.28515625" bestFit="1" customWidth="1"/>
    <col min="21" max="21" width="13.7109375" bestFit="1" customWidth="1"/>
    <col min="32" max="32" width="12.42578125" bestFit="1" customWidth="1"/>
    <col min="33" max="33" width="8.42578125" bestFit="1" customWidth="1"/>
    <col min="34" max="34" width="10.5703125" bestFit="1" customWidth="1"/>
    <col min="39" max="39" width="12.5703125" bestFit="1" customWidth="1"/>
    <col min="50" max="50" width="12.42578125" bestFit="1" customWidth="1"/>
    <col min="51" max="51" width="8.42578125" bestFit="1" customWidth="1"/>
    <col min="52" max="52" width="10.5703125" bestFit="1" customWidth="1"/>
  </cols>
  <sheetData>
    <row r="2" spans="1:22">
      <c r="S2" t="s">
        <v>9</v>
      </c>
    </row>
    <row r="3" spans="1:22">
      <c r="A3" t="s">
        <v>9</v>
      </c>
      <c r="S3" t="s">
        <v>14</v>
      </c>
      <c r="T3" t="s">
        <v>15</v>
      </c>
      <c r="U3" t="s">
        <v>16</v>
      </c>
      <c r="V3" t="s">
        <v>17</v>
      </c>
    </row>
    <row r="4" spans="1:22">
      <c r="A4" t="s">
        <v>14</v>
      </c>
      <c r="B4" t="s">
        <v>15</v>
      </c>
      <c r="C4" t="s">
        <v>16</v>
      </c>
      <c r="D4" t="s">
        <v>17</v>
      </c>
      <c r="S4" t="s">
        <v>19</v>
      </c>
      <c r="T4" t="s">
        <v>20</v>
      </c>
      <c r="U4" t="s">
        <v>16</v>
      </c>
      <c r="V4" t="s">
        <v>17</v>
      </c>
    </row>
    <row r="5" spans="1:22">
      <c r="A5" t="s">
        <v>19</v>
      </c>
      <c r="B5" t="s">
        <v>20</v>
      </c>
      <c r="C5" t="s">
        <v>16</v>
      </c>
      <c r="D5" t="s">
        <v>17</v>
      </c>
      <c r="S5" t="s">
        <v>21</v>
      </c>
      <c r="T5" t="s">
        <v>22</v>
      </c>
      <c r="U5" t="s">
        <v>16</v>
      </c>
      <c r="V5" t="s">
        <v>17</v>
      </c>
    </row>
    <row r="6" spans="1:22">
      <c r="A6" t="s">
        <v>21</v>
      </c>
      <c r="B6" t="s">
        <v>22</v>
      </c>
      <c r="C6" t="s">
        <v>16</v>
      </c>
      <c r="D6" t="s">
        <v>17</v>
      </c>
      <c r="S6" t="s">
        <v>23</v>
      </c>
      <c r="U6" t="s">
        <v>24</v>
      </c>
      <c r="V6" t="s">
        <v>17</v>
      </c>
    </row>
    <row r="7" spans="1:22">
      <c r="A7" t="s">
        <v>23</v>
      </c>
      <c r="C7" t="s">
        <v>24</v>
      </c>
      <c r="D7" t="s">
        <v>17</v>
      </c>
      <c r="S7" t="s">
        <v>26</v>
      </c>
      <c r="T7" t="s">
        <v>27</v>
      </c>
      <c r="U7" t="s">
        <v>28</v>
      </c>
      <c r="V7" t="s">
        <v>29</v>
      </c>
    </row>
    <row r="8" spans="1:22">
      <c r="A8" t="s">
        <v>26</v>
      </c>
      <c r="B8" t="s">
        <v>27</v>
      </c>
      <c r="C8" t="s">
        <v>28</v>
      </c>
      <c r="D8" t="s">
        <v>29</v>
      </c>
      <c r="S8" t="s">
        <v>31</v>
      </c>
      <c r="T8" t="s">
        <v>32</v>
      </c>
      <c r="U8" t="s">
        <v>28</v>
      </c>
      <c r="V8" t="s">
        <v>17</v>
      </c>
    </row>
    <row r="9" spans="1:22">
      <c r="A9" t="s">
        <v>31</v>
      </c>
      <c r="B9" t="s">
        <v>32</v>
      </c>
      <c r="C9" t="s">
        <v>28</v>
      </c>
      <c r="D9" t="s">
        <v>17</v>
      </c>
      <c r="S9" t="s">
        <v>37</v>
      </c>
      <c r="U9" t="s">
        <v>38</v>
      </c>
      <c r="V9" t="s">
        <v>17</v>
      </c>
    </row>
    <row r="10" spans="1:22">
      <c r="A10" t="s">
        <v>37</v>
      </c>
      <c r="C10" t="s">
        <v>38</v>
      </c>
      <c r="D10" t="s">
        <v>17</v>
      </c>
      <c r="S10" t="s">
        <v>40</v>
      </c>
      <c r="T10" t="s">
        <v>41</v>
      </c>
      <c r="U10" t="s">
        <v>42</v>
      </c>
      <c r="V10" t="s">
        <v>17</v>
      </c>
    </row>
    <row r="11" spans="1:22">
      <c r="A11" t="s">
        <v>40</v>
      </c>
      <c r="B11" t="s">
        <v>41</v>
      </c>
      <c r="C11" t="s">
        <v>42</v>
      </c>
      <c r="D11" t="s">
        <v>17</v>
      </c>
      <c r="S11" t="s">
        <v>44</v>
      </c>
      <c r="U11" t="s">
        <v>45</v>
      </c>
      <c r="V11" t="s">
        <v>29</v>
      </c>
    </row>
    <row r="12" spans="1:22">
      <c r="A12" t="s">
        <v>44</v>
      </c>
      <c r="C12" t="s">
        <v>45</v>
      </c>
      <c r="D12" t="s">
        <v>29</v>
      </c>
      <c r="S12" t="s">
        <v>47</v>
      </c>
      <c r="T12" t="s">
        <v>48</v>
      </c>
      <c r="U12" t="s">
        <v>49</v>
      </c>
      <c r="V12" t="s">
        <v>17</v>
      </c>
    </row>
    <row r="13" spans="1:22">
      <c r="A13" t="s">
        <v>47</v>
      </c>
      <c r="B13" t="s">
        <v>48</v>
      </c>
      <c r="C13" t="s">
        <v>49</v>
      </c>
      <c r="D13" t="s">
        <v>17</v>
      </c>
    </row>
    <row r="15" spans="1:22">
      <c r="A15" s="39" t="s">
        <v>204</v>
      </c>
    </row>
    <row r="16" spans="1:22">
      <c r="A16" s="45" t="s">
        <v>205</v>
      </c>
    </row>
    <row r="17" spans="1:52">
      <c r="A17" s="44" t="s">
        <v>206</v>
      </c>
    </row>
    <row r="18" spans="1:52">
      <c r="A18" s="46" t="s">
        <v>207</v>
      </c>
    </row>
    <row r="23" spans="1:52">
      <c r="A23" s="5" t="s">
        <v>226</v>
      </c>
      <c r="B23" s="10"/>
      <c r="C23" s="10"/>
      <c r="D23" s="5" t="s">
        <v>211</v>
      </c>
      <c r="E23" s="5" t="s">
        <v>212</v>
      </c>
      <c r="F23" s="5" t="s">
        <v>213</v>
      </c>
      <c r="G23" s="5" t="s">
        <v>214</v>
      </c>
      <c r="H23" s="5" t="s">
        <v>215</v>
      </c>
      <c r="I23" s="5" t="s">
        <v>217</v>
      </c>
      <c r="J23" s="5" t="s">
        <v>218</v>
      </c>
      <c r="K23" s="5" t="s">
        <v>219</v>
      </c>
      <c r="L23" s="5" t="s">
        <v>220</v>
      </c>
      <c r="M23" s="5" t="s">
        <v>221</v>
      </c>
      <c r="S23" s="5" t="s">
        <v>228</v>
      </c>
      <c r="T23" s="10"/>
      <c r="U23" s="10"/>
      <c r="V23" s="5" t="s">
        <v>211</v>
      </c>
      <c r="W23" s="5" t="s">
        <v>212</v>
      </c>
      <c r="X23" s="5" t="s">
        <v>213</v>
      </c>
      <c r="Y23" s="5" t="s">
        <v>214</v>
      </c>
      <c r="Z23" s="5" t="s">
        <v>215</v>
      </c>
      <c r="AA23" s="5" t="s">
        <v>217</v>
      </c>
      <c r="AB23" s="5" t="s">
        <v>218</v>
      </c>
      <c r="AC23" s="5" t="s">
        <v>219</v>
      </c>
      <c r="AD23" s="5" t="s">
        <v>220</v>
      </c>
      <c r="AE23" s="5" t="s">
        <v>221</v>
      </c>
      <c r="AK23" s="5" t="s">
        <v>229</v>
      </c>
      <c r="AL23" s="10"/>
      <c r="AM23" s="10"/>
      <c r="AN23" s="5" t="s">
        <v>211</v>
      </c>
      <c r="AO23" s="5" t="s">
        <v>212</v>
      </c>
      <c r="AP23" s="5" t="s">
        <v>213</v>
      </c>
      <c r="AQ23" s="5" t="s">
        <v>214</v>
      </c>
      <c r="AR23" s="5" t="s">
        <v>215</v>
      </c>
      <c r="AS23" s="5" t="s">
        <v>217</v>
      </c>
      <c r="AT23" s="5" t="s">
        <v>218</v>
      </c>
      <c r="AU23" s="5" t="s">
        <v>219</v>
      </c>
      <c r="AV23" s="5" t="s">
        <v>220</v>
      </c>
      <c r="AW23" s="5" t="s">
        <v>221</v>
      </c>
    </row>
    <row r="24" spans="1:52">
      <c r="A24" s="10" t="s">
        <v>222</v>
      </c>
      <c r="B24" s="10" t="s">
        <v>223</v>
      </c>
      <c r="C24" s="10" t="s">
        <v>8</v>
      </c>
      <c r="D24" s="2">
        <v>44221</v>
      </c>
      <c r="E24" s="2">
        <v>44222</v>
      </c>
      <c r="F24" s="2">
        <v>44223</v>
      </c>
      <c r="G24" s="2">
        <v>44224</v>
      </c>
      <c r="H24" s="2">
        <v>44225</v>
      </c>
      <c r="I24" s="2">
        <v>44227</v>
      </c>
      <c r="J24" s="2">
        <v>44228</v>
      </c>
      <c r="K24" s="2">
        <v>44229</v>
      </c>
      <c r="L24" s="2">
        <v>44230</v>
      </c>
      <c r="M24" s="2">
        <v>44231</v>
      </c>
      <c r="N24" s="48" t="s">
        <v>230</v>
      </c>
      <c r="O24" s="48" t="s">
        <v>231</v>
      </c>
      <c r="P24" t="s">
        <v>232</v>
      </c>
      <c r="S24" s="10" t="s">
        <v>222</v>
      </c>
      <c r="T24" s="10" t="s">
        <v>223</v>
      </c>
      <c r="U24" s="10" t="s">
        <v>8</v>
      </c>
      <c r="V24" s="2">
        <v>44221</v>
      </c>
      <c r="W24" s="2">
        <v>44222</v>
      </c>
      <c r="X24" s="2">
        <v>44223</v>
      </c>
      <c r="Y24" s="2">
        <v>44224</v>
      </c>
      <c r="Z24" s="2">
        <v>44225</v>
      </c>
      <c r="AA24" s="2">
        <v>44227</v>
      </c>
      <c r="AB24" s="2">
        <v>44228</v>
      </c>
      <c r="AC24" s="2">
        <v>44229</v>
      </c>
      <c r="AD24" s="2">
        <v>44230</v>
      </c>
      <c r="AE24" s="2">
        <v>44231</v>
      </c>
      <c r="AF24" s="48" t="s">
        <v>230</v>
      </c>
      <c r="AG24" s="48" t="s">
        <v>231</v>
      </c>
      <c r="AH24" t="s">
        <v>232</v>
      </c>
      <c r="AK24" s="10" t="s">
        <v>222</v>
      </c>
      <c r="AL24" s="10" t="s">
        <v>223</v>
      </c>
      <c r="AM24" s="10" t="s">
        <v>8</v>
      </c>
      <c r="AN24" s="2">
        <v>44221</v>
      </c>
      <c r="AO24" s="2">
        <v>44222</v>
      </c>
      <c r="AP24" s="2">
        <v>44223</v>
      </c>
      <c r="AQ24" s="2">
        <v>44224</v>
      </c>
      <c r="AR24" s="2">
        <v>44225</v>
      </c>
      <c r="AS24" s="2">
        <v>44227</v>
      </c>
      <c r="AT24" s="2">
        <v>44228</v>
      </c>
      <c r="AU24" s="2">
        <v>44229</v>
      </c>
      <c r="AV24" s="2">
        <v>44230</v>
      </c>
      <c r="AW24" s="2">
        <v>44231</v>
      </c>
      <c r="AX24" s="48" t="s">
        <v>230</v>
      </c>
      <c r="AY24" s="48" t="s">
        <v>231</v>
      </c>
      <c r="AZ24" t="s">
        <v>232</v>
      </c>
    </row>
    <row r="25" spans="1:52">
      <c r="A25" s="52" t="s">
        <v>54</v>
      </c>
      <c r="B25" s="7">
        <v>15</v>
      </c>
      <c r="C25" s="12" t="s">
        <v>12</v>
      </c>
      <c r="D25" s="40">
        <v>19</v>
      </c>
      <c r="E25" s="7">
        <v>36</v>
      </c>
      <c r="F25" s="7">
        <v>34</v>
      </c>
      <c r="G25" s="7">
        <v>29</v>
      </c>
      <c r="H25" s="49">
        <v>28</v>
      </c>
      <c r="I25" s="7">
        <v>27</v>
      </c>
      <c r="J25" s="7">
        <v>30</v>
      </c>
      <c r="K25" s="7">
        <v>26</v>
      </c>
      <c r="L25" s="7">
        <v>14</v>
      </c>
      <c r="M25" s="40">
        <v>11</v>
      </c>
      <c r="N25">
        <f t="shared" ref="N25:N32" si="0">AVERAGE(K25:M25)</f>
        <v>17</v>
      </c>
      <c r="O25">
        <f t="shared" ref="O25:O32" si="1">AVERAGE(D25:M25)</f>
        <v>25.4</v>
      </c>
      <c r="P25" t="s">
        <v>13</v>
      </c>
      <c r="S25" s="50" t="s">
        <v>10</v>
      </c>
      <c r="T25" s="7">
        <v>1</v>
      </c>
      <c r="U25" s="12" t="s">
        <v>12</v>
      </c>
      <c r="V25" s="40">
        <v>43</v>
      </c>
      <c r="W25" s="7">
        <v>87</v>
      </c>
      <c r="X25" s="7">
        <v>76</v>
      </c>
      <c r="Y25" s="7">
        <v>58</v>
      </c>
      <c r="Z25" s="49">
        <v>58</v>
      </c>
      <c r="AA25" s="7">
        <v>54</v>
      </c>
      <c r="AB25" s="7">
        <v>98</v>
      </c>
      <c r="AC25" s="7">
        <v>64</v>
      </c>
      <c r="AD25" s="7">
        <v>32</v>
      </c>
      <c r="AE25" s="40">
        <v>22</v>
      </c>
      <c r="AF25">
        <f t="shared" ref="AF25:AF32" si="2">AVERAGE(AC25:AE25)</f>
        <v>39.333333333333336</v>
      </c>
      <c r="AG25">
        <f t="shared" ref="AG25:AG32" si="3">AVERAGE(V25:AE25)</f>
        <v>59.2</v>
      </c>
      <c r="AH25" t="s">
        <v>13</v>
      </c>
      <c r="AK25" s="52" t="s">
        <v>54</v>
      </c>
      <c r="AL25" s="7">
        <v>15</v>
      </c>
      <c r="AM25" s="12" t="s">
        <v>12</v>
      </c>
      <c r="AN25" s="40">
        <v>30</v>
      </c>
      <c r="AO25" s="7">
        <v>6</v>
      </c>
      <c r="AP25" s="7">
        <v>10</v>
      </c>
      <c r="AQ25" s="7">
        <v>9</v>
      </c>
      <c r="AR25" s="49">
        <v>12</v>
      </c>
      <c r="AS25" s="7">
        <v>14</v>
      </c>
      <c r="AT25" s="7">
        <v>42</v>
      </c>
      <c r="AU25" s="7">
        <v>76</v>
      </c>
      <c r="AV25" s="7">
        <v>63</v>
      </c>
      <c r="AW25" s="40">
        <v>19</v>
      </c>
      <c r="AX25">
        <f t="shared" ref="AX25:AX32" si="4">AVERAGE(AU25:AW25)</f>
        <v>52.666666666666664</v>
      </c>
      <c r="AY25">
        <f t="shared" ref="AY25:AY32" si="5">AVERAGE(AN25:AW25)</f>
        <v>28.1</v>
      </c>
      <c r="AZ25" t="s">
        <v>13</v>
      </c>
    </row>
    <row r="26" spans="1:52">
      <c r="A26" s="51">
        <v>545</v>
      </c>
      <c r="B26" s="7">
        <v>4</v>
      </c>
      <c r="C26" s="12" t="s">
        <v>12</v>
      </c>
      <c r="D26" s="7">
        <v>33</v>
      </c>
      <c r="E26" s="7">
        <v>39</v>
      </c>
      <c r="F26" s="7">
        <v>62</v>
      </c>
      <c r="G26" s="7">
        <v>47</v>
      </c>
      <c r="H26" s="7">
        <v>45</v>
      </c>
      <c r="I26" s="7">
        <v>41</v>
      </c>
      <c r="J26" s="7">
        <v>34</v>
      </c>
      <c r="K26" s="7">
        <v>34</v>
      </c>
      <c r="L26" s="7">
        <v>35</v>
      </c>
      <c r="M26" s="7">
        <v>31</v>
      </c>
      <c r="N26">
        <f t="shared" si="0"/>
        <v>33.333333333333336</v>
      </c>
      <c r="O26">
        <f t="shared" si="1"/>
        <v>40.1</v>
      </c>
      <c r="P26" t="s">
        <v>13</v>
      </c>
      <c r="S26" s="50" t="s">
        <v>18</v>
      </c>
      <c r="T26" s="7">
        <v>2</v>
      </c>
      <c r="U26" s="12" t="s">
        <v>12</v>
      </c>
      <c r="V26" s="7">
        <v>69</v>
      </c>
      <c r="W26" s="7">
        <v>149</v>
      </c>
      <c r="X26" s="7">
        <v>329</v>
      </c>
      <c r="Y26" s="7">
        <v>230</v>
      </c>
      <c r="Z26" s="7">
        <v>230</v>
      </c>
      <c r="AA26" s="7">
        <v>164</v>
      </c>
      <c r="AB26" s="7">
        <v>80</v>
      </c>
      <c r="AC26" s="7">
        <v>74</v>
      </c>
      <c r="AD26" s="7">
        <v>121</v>
      </c>
      <c r="AE26" s="7">
        <v>56</v>
      </c>
      <c r="AF26">
        <f t="shared" si="2"/>
        <v>83.666666666666671</v>
      </c>
      <c r="AG26">
        <f t="shared" si="3"/>
        <v>150.19999999999999</v>
      </c>
      <c r="AH26" t="s">
        <v>13</v>
      </c>
      <c r="AK26" s="51">
        <v>545</v>
      </c>
      <c r="AL26" s="7">
        <v>4</v>
      </c>
      <c r="AM26" s="12" t="s">
        <v>12</v>
      </c>
      <c r="AN26" s="7">
        <v>45</v>
      </c>
      <c r="AO26" s="7">
        <v>55</v>
      </c>
      <c r="AP26" s="7">
        <v>36</v>
      </c>
      <c r="AQ26" s="7">
        <v>7</v>
      </c>
      <c r="AR26" s="7">
        <v>3</v>
      </c>
      <c r="AS26" s="7">
        <v>25</v>
      </c>
      <c r="AT26" s="7">
        <v>12</v>
      </c>
      <c r="AU26" s="7">
        <v>10</v>
      </c>
      <c r="AV26" s="7">
        <v>10</v>
      </c>
      <c r="AW26" s="7">
        <v>2</v>
      </c>
      <c r="AX26">
        <f t="shared" si="4"/>
        <v>7.333333333333333</v>
      </c>
      <c r="AY26">
        <f t="shared" si="5"/>
        <v>20.5</v>
      </c>
      <c r="AZ26" t="s">
        <v>13</v>
      </c>
    </row>
    <row r="27" spans="1:52">
      <c r="A27" s="50" t="s">
        <v>25</v>
      </c>
      <c r="B27" s="7">
        <v>5</v>
      </c>
      <c r="C27" s="12" t="s">
        <v>12</v>
      </c>
      <c r="D27" s="7">
        <v>18</v>
      </c>
      <c r="E27" s="7">
        <v>37</v>
      </c>
      <c r="F27" s="7">
        <v>50</v>
      </c>
      <c r="G27" s="7">
        <v>38</v>
      </c>
      <c r="H27" s="7">
        <v>33</v>
      </c>
      <c r="I27" s="7">
        <v>57</v>
      </c>
      <c r="J27" s="7">
        <v>36</v>
      </c>
      <c r="K27" s="7">
        <v>23</v>
      </c>
      <c r="L27" s="7">
        <v>38</v>
      </c>
      <c r="M27" s="7">
        <v>42</v>
      </c>
      <c r="N27">
        <f t="shared" si="0"/>
        <v>34.333333333333336</v>
      </c>
      <c r="O27">
        <f t="shared" si="1"/>
        <v>37.200000000000003</v>
      </c>
      <c r="P27" t="s">
        <v>13</v>
      </c>
      <c r="S27" s="50">
        <v>544</v>
      </c>
      <c r="T27" s="7">
        <v>3</v>
      </c>
      <c r="U27" s="12" t="s">
        <v>12</v>
      </c>
      <c r="V27" s="7">
        <v>30</v>
      </c>
      <c r="W27" s="7">
        <v>53</v>
      </c>
      <c r="X27" s="7">
        <v>67</v>
      </c>
      <c r="Y27" s="7">
        <v>48</v>
      </c>
      <c r="Z27" s="7">
        <v>58</v>
      </c>
      <c r="AA27" s="7">
        <v>200</v>
      </c>
      <c r="AB27" s="7">
        <v>121</v>
      </c>
      <c r="AC27" s="7">
        <v>39</v>
      </c>
      <c r="AD27" s="7">
        <v>159</v>
      </c>
      <c r="AE27" s="7">
        <v>142</v>
      </c>
      <c r="AF27">
        <f t="shared" si="2"/>
        <v>113.33333333333333</v>
      </c>
      <c r="AG27">
        <f t="shared" si="3"/>
        <v>91.7</v>
      </c>
      <c r="AH27" t="s">
        <v>13</v>
      </c>
      <c r="AK27" s="50" t="s">
        <v>25</v>
      </c>
      <c r="AL27" s="7">
        <v>5</v>
      </c>
      <c r="AM27" s="12" t="s">
        <v>12</v>
      </c>
      <c r="AN27" s="7">
        <v>20</v>
      </c>
      <c r="AO27" s="7">
        <v>62</v>
      </c>
      <c r="AP27" s="7">
        <v>53</v>
      </c>
      <c r="AQ27" s="7">
        <v>41</v>
      </c>
      <c r="AR27" s="7">
        <v>38</v>
      </c>
      <c r="AS27" s="7">
        <v>81</v>
      </c>
      <c r="AT27" s="7">
        <v>31</v>
      </c>
      <c r="AU27" s="7">
        <v>3</v>
      </c>
      <c r="AV27" s="7">
        <v>32</v>
      </c>
      <c r="AW27" s="7">
        <v>14</v>
      </c>
      <c r="AX27">
        <f t="shared" si="4"/>
        <v>16.333333333333332</v>
      </c>
      <c r="AY27">
        <f t="shared" si="5"/>
        <v>37.5</v>
      </c>
      <c r="AZ27" t="s">
        <v>13</v>
      </c>
    </row>
    <row r="28" spans="1:52">
      <c r="A28" s="50" t="s">
        <v>30</v>
      </c>
      <c r="B28" s="7">
        <v>6</v>
      </c>
      <c r="C28" s="12" t="s">
        <v>12</v>
      </c>
      <c r="D28" s="7">
        <v>0</v>
      </c>
      <c r="E28" s="7">
        <v>3</v>
      </c>
      <c r="F28" s="7">
        <v>15</v>
      </c>
      <c r="G28" s="7">
        <v>29</v>
      </c>
      <c r="H28" s="7">
        <v>29</v>
      </c>
      <c r="I28" s="7">
        <v>47</v>
      </c>
      <c r="J28" s="7">
        <v>36</v>
      </c>
      <c r="K28" s="7">
        <v>46</v>
      </c>
      <c r="L28" s="7">
        <v>39</v>
      </c>
      <c r="M28" s="7">
        <v>37</v>
      </c>
      <c r="N28">
        <f t="shared" si="0"/>
        <v>40.666666666666664</v>
      </c>
      <c r="O28">
        <f t="shared" si="1"/>
        <v>28.1</v>
      </c>
      <c r="P28" t="s">
        <v>13</v>
      </c>
      <c r="S28" s="51">
        <v>545</v>
      </c>
      <c r="T28" s="7">
        <v>4</v>
      </c>
      <c r="U28" s="12" t="s">
        <v>12</v>
      </c>
      <c r="V28" s="7">
        <v>0</v>
      </c>
      <c r="W28" s="7">
        <v>4</v>
      </c>
      <c r="X28" s="7">
        <v>25</v>
      </c>
      <c r="Y28" s="7">
        <v>60</v>
      </c>
      <c r="Z28" s="7">
        <v>106</v>
      </c>
      <c r="AA28" s="7">
        <v>150</v>
      </c>
      <c r="AB28" s="7">
        <v>117</v>
      </c>
      <c r="AC28" s="7">
        <v>129</v>
      </c>
      <c r="AD28" s="7">
        <v>123</v>
      </c>
      <c r="AE28" s="7">
        <v>106</v>
      </c>
      <c r="AF28">
        <f t="shared" si="2"/>
        <v>119.33333333333333</v>
      </c>
      <c r="AG28">
        <f t="shared" si="3"/>
        <v>82</v>
      </c>
      <c r="AH28" t="s">
        <v>13</v>
      </c>
      <c r="AK28" s="50" t="s">
        <v>30</v>
      </c>
      <c r="AL28" s="7">
        <v>6</v>
      </c>
      <c r="AM28" s="12" t="s">
        <v>12</v>
      </c>
      <c r="AN28" s="7">
        <v>3</v>
      </c>
      <c r="AO28" s="7">
        <v>2</v>
      </c>
      <c r="AP28" s="7">
        <v>2</v>
      </c>
      <c r="AQ28" s="7">
        <v>4</v>
      </c>
      <c r="AR28" s="7">
        <v>13</v>
      </c>
      <c r="AS28" s="7">
        <v>8</v>
      </c>
      <c r="AT28" s="7">
        <v>1</v>
      </c>
      <c r="AU28" s="7">
        <v>1</v>
      </c>
      <c r="AV28" s="7">
        <v>2</v>
      </c>
      <c r="AW28" s="7">
        <v>15</v>
      </c>
      <c r="AX28">
        <f t="shared" si="4"/>
        <v>6</v>
      </c>
      <c r="AY28">
        <f t="shared" si="5"/>
        <v>5.0999999999999996</v>
      </c>
      <c r="AZ28" t="s">
        <v>13</v>
      </c>
    </row>
    <row r="29" spans="1:52">
      <c r="A29" s="52" t="s">
        <v>55</v>
      </c>
      <c r="B29" s="7">
        <v>16</v>
      </c>
      <c r="C29" s="12" t="s">
        <v>12</v>
      </c>
      <c r="D29" s="40">
        <v>16</v>
      </c>
      <c r="E29" s="7">
        <v>25</v>
      </c>
      <c r="F29" s="7">
        <v>34</v>
      </c>
      <c r="G29" s="7">
        <v>52</v>
      </c>
      <c r="H29" s="40">
        <v>52</v>
      </c>
      <c r="I29" s="7">
        <v>75</v>
      </c>
      <c r="J29" s="7">
        <v>75</v>
      </c>
      <c r="K29" s="7">
        <v>75</v>
      </c>
      <c r="L29" s="7">
        <v>65</v>
      </c>
      <c r="M29" s="40">
        <v>61</v>
      </c>
      <c r="N29">
        <f t="shared" si="0"/>
        <v>67</v>
      </c>
      <c r="O29">
        <f t="shared" si="1"/>
        <v>53</v>
      </c>
      <c r="P29" t="s">
        <v>13</v>
      </c>
      <c r="S29" s="50" t="s">
        <v>25</v>
      </c>
      <c r="T29" s="7">
        <v>5</v>
      </c>
      <c r="U29" s="12" t="s">
        <v>12</v>
      </c>
      <c r="V29" s="40">
        <v>22</v>
      </c>
      <c r="W29" s="7">
        <v>48</v>
      </c>
      <c r="X29" s="7">
        <v>67</v>
      </c>
      <c r="Y29" s="7">
        <v>139</v>
      </c>
      <c r="Z29" s="40">
        <v>162</v>
      </c>
      <c r="AA29" s="7">
        <v>196</v>
      </c>
      <c r="AB29" s="7">
        <v>241</v>
      </c>
      <c r="AC29" s="7">
        <v>189</v>
      </c>
      <c r="AD29" s="7">
        <v>146</v>
      </c>
      <c r="AE29" s="40">
        <v>158</v>
      </c>
      <c r="AF29">
        <f t="shared" si="2"/>
        <v>164.33333333333334</v>
      </c>
      <c r="AG29">
        <f t="shared" si="3"/>
        <v>136.80000000000001</v>
      </c>
      <c r="AH29" t="s">
        <v>13</v>
      </c>
      <c r="AK29" s="52" t="s">
        <v>55</v>
      </c>
      <c r="AL29" s="7">
        <v>16</v>
      </c>
      <c r="AM29" s="12" t="s">
        <v>12</v>
      </c>
      <c r="AN29" s="40">
        <v>8</v>
      </c>
      <c r="AO29" s="7">
        <v>1</v>
      </c>
      <c r="AP29" s="7">
        <v>1</v>
      </c>
      <c r="AQ29" s="7">
        <v>3</v>
      </c>
      <c r="AR29" s="40">
        <v>2</v>
      </c>
      <c r="AS29" s="7">
        <v>2</v>
      </c>
      <c r="AT29" s="7">
        <v>3</v>
      </c>
      <c r="AU29" s="7">
        <v>12</v>
      </c>
      <c r="AV29" s="7">
        <v>6</v>
      </c>
      <c r="AW29" s="40">
        <v>18</v>
      </c>
      <c r="AX29">
        <f t="shared" si="4"/>
        <v>12</v>
      </c>
      <c r="AY29">
        <f t="shared" si="5"/>
        <v>5.6</v>
      </c>
      <c r="AZ29" t="s">
        <v>13</v>
      </c>
    </row>
    <row r="30" spans="1:52">
      <c r="A30" s="50" t="s">
        <v>10</v>
      </c>
      <c r="B30" s="7">
        <v>1</v>
      </c>
      <c r="C30" s="12" t="s">
        <v>12</v>
      </c>
      <c r="D30" s="7">
        <v>60</v>
      </c>
      <c r="E30" s="7">
        <v>41</v>
      </c>
      <c r="F30" s="47">
        <v>61</v>
      </c>
      <c r="G30" s="7">
        <v>43</v>
      </c>
      <c r="H30" s="7">
        <v>54</v>
      </c>
      <c r="I30" s="7">
        <v>75</v>
      </c>
      <c r="J30" s="7">
        <v>75</v>
      </c>
      <c r="K30" s="7">
        <v>75</v>
      </c>
      <c r="L30" s="7">
        <v>75</v>
      </c>
      <c r="M30" s="7">
        <v>64</v>
      </c>
      <c r="N30">
        <f t="shared" si="0"/>
        <v>71.333333333333329</v>
      </c>
      <c r="O30">
        <f t="shared" si="1"/>
        <v>62.3</v>
      </c>
      <c r="P30" t="s">
        <v>13</v>
      </c>
      <c r="S30" s="50" t="s">
        <v>30</v>
      </c>
      <c r="T30" s="7">
        <v>6</v>
      </c>
      <c r="U30" s="12" t="s">
        <v>12</v>
      </c>
      <c r="V30" s="7">
        <v>105</v>
      </c>
      <c r="W30" s="7">
        <v>79</v>
      </c>
      <c r="X30" s="47">
        <v>126</v>
      </c>
      <c r="Y30" s="7">
        <v>89</v>
      </c>
      <c r="Z30" s="7">
        <v>103</v>
      </c>
      <c r="AA30" s="7">
        <v>235</v>
      </c>
      <c r="AB30" s="7">
        <v>292</v>
      </c>
      <c r="AC30" s="7">
        <v>263</v>
      </c>
      <c r="AD30" s="7">
        <v>180</v>
      </c>
      <c r="AE30" s="7">
        <v>177</v>
      </c>
      <c r="AF30">
        <f t="shared" si="2"/>
        <v>206.66666666666666</v>
      </c>
      <c r="AG30">
        <f t="shared" si="3"/>
        <v>164.9</v>
      </c>
      <c r="AH30" t="s">
        <v>13</v>
      </c>
      <c r="AK30" s="50" t="s">
        <v>10</v>
      </c>
      <c r="AL30" s="7">
        <v>1</v>
      </c>
      <c r="AM30" s="12" t="s">
        <v>12</v>
      </c>
      <c r="AN30" s="7">
        <v>67</v>
      </c>
      <c r="AO30" s="7">
        <v>43</v>
      </c>
      <c r="AP30" s="47">
        <v>34</v>
      </c>
      <c r="AQ30" s="7">
        <v>72</v>
      </c>
      <c r="AR30" s="7">
        <v>54</v>
      </c>
      <c r="AS30" s="7">
        <v>176</v>
      </c>
      <c r="AT30" s="7">
        <v>67</v>
      </c>
      <c r="AU30" s="7">
        <v>68</v>
      </c>
      <c r="AV30" s="7">
        <v>160</v>
      </c>
      <c r="AW30" s="7">
        <v>150</v>
      </c>
      <c r="AX30">
        <f t="shared" si="4"/>
        <v>126</v>
      </c>
      <c r="AY30">
        <f t="shared" si="5"/>
        <v>89.1</v>
      </c>
      <c r="AZ30" t="s">
        <v>13</v>
      </c>
    </row>
    <row r="31" spans="1:52">
      <c r="A31" s="50">
        <v>544</v>
      </c>
      <c r="B31" s="7">
        <v>3</v>
      </c>
      <c r="C31" s="12" t="s">
        <v>12</v>
      </c>
      <c r="D31" s="42">
        <v>31</v>
      </c>
      <c r="E31" s="42">
        <v>38</v>
      </c>
      <c r="F31" s="7">
        <v>45</v>
      </c>
      <c r="G31" s="49">
        <v>58</v>
      </c>
      <c r="H31" s="49">
        <v>75</v>
      </c>
      <c r="I31" s="7">
        <v>75</v>
      </c>
      <c r="J31" s="7">
        <v>75</v>
      </c>
      <c r="K31" s="7">
        <v>75</v>
      </c>
      <c r="L31" s="7">
        <v>75</v>
      </c>
      <c r="M31" s="7">
        <v>75</v>
      </c>
      <c r="N31">
        <f t="shared" si="0"/>
        <v>75</v>
      </c>
      <c r="O31">
        <f t="shared" si="1"/>
        <v>62.2</v>
      </c>
      <c r="P31" t="s">
        <v>13</v>
      </c>
      <c r="S31" s="52" t="s">
        <v>54</v>
      </c>
      <c r="T31" s="7">
        <v>15</v>
      </c>
      <c r="U31" s="12" t="s">
        <v>12</v>
      </c>
      <c r="V31" s="7">
        <v>41</v>
      </c>
      <c r="W31" s="7">
        <v>60</v>
      </c>
      <c r="X31" s="7">
        <v>70</v>
      </c>
      <c r="Y31" s="49">
        <v>99</v>
      </c>
      <c r="Z31" s="49">
        <v>279</v>
      </c>
      <c r="AA31" s="7">
        <v>219</v>
      </c>
      <c r="AB31" s="7">
        <v>232</v>
      </c>
      <c r="AC31" s="7">
        <v>260</v>
      </c>
      <c r="AD31" s="7">
        <v>255</v>
      </c>
      <c r="AE31" s="7">
        <v>274</v>
      </c>
      <c r="AF31">
        <f t="shared" si="2"/>
        <v>263</v>
      </c>
      <c r="AG31">
        <f t="shared" si="3"/>
        <v>178.9</v>
      </c>
      <c r="AH31" t="s">
        <v>13</v>
      </c>
      <c r="AK31" s="50">
        <v>544</v>
      </c>
      <c r="AL31" s="7">
        <v>3</v>
      </c>
      <c r="AM31" s="12" t="s">
        <v>12</v>
      </c>
      <c r="AN31" s="7">
        <v>24</v>
      </c>
      <c r="AO31" s="7">
        <v>60</v>
      </c>
      <c r="AP31" s="7">
        <v>25</v>
      </c>
      <c r="AQ31" s="49">
        <v>21</v>
      </c>
      <c r="AR31" s="49">
        <v>7</v>
      </c>
      <c r="AS31" s="7">
        <v>6</v>
      </c>
      <c r="AT31" s="7">
        <v>28</v>
      </c>
      <c r="AU31" s="7">
        <v>10</v>
      </c>
      <c r="AV31" s="7">
        <v>12</v>
      </c>
      <c r="AW31" s="7">
        <v>11</v>
      </c>
      <c r="AX31">
        <f t="shared" si="4"/>
        <v>11</v>
      </c>
      <c r="AY31">
        <f t="shared" si="5"/>
        <v>20.399999999999999</v>
      </c>
      <c r="AZ31" t="s">
        <v>13</v>
      </c>
    </row>
    <row r="32" spans="1:52">
      <c r="A32" s="50" t="s">
        <v>18</v>
      </c>
      <c r="B32" s="7">
        <v>2</v>
      </c>
      <c r="C32" s="12" t="s">
        <v>12</v>
      </c>
      <c r="D32" s="7">
        <v>53</v>
      </c>
      <c r="E32" s="7">
        <v>75</v>
      </c>
      <c r="F32" s="7">
        <v>75</v>
      </c>
      <c r="G32" s="7">
        <v>75</v>
      </c>
      <c r="H32" s="7">
        <v>75</v>
      </c>
      <c r="I32" s="7">
        <v>75</v>
      </c>
      <c r="J32" s="7">
        <v>75</v>
      </c>
      <c r="K32" s="7">
        <v>75</v>
      </c>
      <c r="L32" s="7">
        <v>75</v>
      </c>
      <c r="M32" s="7">
        <v>75</v>
      </c>
      <c r="N32">
        <f t="shared" si="0"/>
        <v>75</v>
      </c>
      <c r="O32">
        <f t="shared" si="1"/>
        <v>72.8</v>
      </c>
      <c r="P32" t="s">
        <v>233</v>
      </c>
      <c r="S32" s="52" t="s">
        <v>55</v>
      </c>
      <c r="T32" s="7">
        <v>16</v>
      </c>
      <c r="U32" s="12" t="s">
        <v>12</v>
      </c>
      <c r="V32" s="7">
        <v>175</v>
      </c>
      <c r="W32" s="7">
        <v>282</v>
      </c>
      <c r="X32" s="7">
        <v>454</v>
      </c>
      <c r="Y32" s="7">
        <v>377</v>
      </c>
      <c r="Z32" s="7">
        <v>373</v>
      </c>
      <c r="AA32" s="7">
        <v>462</v>
      </c>
      <c r="AB32" s="7">
        <v>434</v>
      </c>
      <c r="AC32" s="7">
        <v>461</v>
      </c>
      <c r="AD32" s="7">
        <v>423</v>
      </c>
      <c r="AE32" s="7">
        <v>469</v>
      </c>
      <c r="AF32">
        <f t="shared" si="2"/>
        <v>451</v>
      </c>
      <c r="AG32">
        <f t="shared" si="3"/>
        <v>391</v>
      </c>
      <c r="AH32" t="s">
        <v>13</v>
      </c>
      <c r="AK32" s="50" t="s">
        <v>18</v>
      </c>
      <c r="AL32" s="7">
        <v>2</v>
      </c>
      <c r="AM32" s="12" t="s">
        <v>12</v>
      </c>
      <c r="AN32" s="7">
        <v>24</v>
      </c>
      <c r="AO32" s="7">
        <v>10</v>
      </c>
      <c r="AP32" s="7">
        <v>21</v>
      </c>
      <c r="AQ32" s="7">
        <v>8</v>
      </c>
      <c r="AR32" s="7">
        <v>6</v>
      </c>
      <c r="AS32" s="7">
        <v>11</v>
      </c>
      <c r="AT32" s="7">
        <v>8</v>
      </c>
      <c r="AU32" s="7">
        <v>15</v>
      </c>
      <c r="AV32" s="7">
        <v>35</v>
      </c>
      <c r="AW32" s="7">
        <v>9</v>
      </c>
      <c r="AX32">
        <f t="shared" si="4"/>
        <v>19.666666666666668</v>
      </c>
      <c r="AY32">
        <f t="shared" si="5"/>
        <v>14.7</v>
      </c>
      <c r="AZ32" t="s">
        <v>13</v>
      </c>
    </row>
    <row r="35" spans="1:52">
      <c r="N35" s="48" t="s">
        <v>230</v>
      </c>
      <c r="O35" s="48" t="s">
        <v>231</v>
      </c>
      <c r="P35" t="s">
        <v>232</v>
      </c>
      <c r="AF35" s="48" t="s">
        <v>230</v>
      </c>
      <c r="AG35" s="48" t="s">
        <v>231</v>
      </c>
      <c r="AH35" t="s">
        <v>232</v>
      </c>
      <c r="AX35" s="48" t="s">
        <v>230</v>
      </c>
      <c r="AY35" s="48" t="s">
        <v>231</v>
      </c>
      <c r="AZ35" t="s">
        <v>232</v>
      </c>
    </row>
    <row r="36" spans="1:52">
      <c r="A36" s="52" t="s">
        <v>51</v>
      </c>
      <c r="B36" s="7">
        <v>12</v>
      </c>
      <c r="C36" s="12" t="s">
        <v>43</v>
      </c>
      <c r="D36" s="40">
        <v>23</v>
      </c>
      <c r="E36" s="7">
        <v>33</v>
      </c>
      <c r="F36" s="7">
        <v>31</v>
      </c>
      <c r="G36" s="7">
        <v>29</v>
      </c>
      <c r="H36" s="40">
        <v>31</v>
      </c>
      <c r="I36" s="7">
        <v>17</v>
      </c>
      <c r="J36" s="7">
        <v>20</v>
      </c>
      <c r="K36" s="7">
        <v>25</v>
      </c>
      <c r="L36" s="7">
        <v>29</v>
      </c>
      <c r="M36" s="40">
        <v>24</v>
      </c>
      <c r="N36">
        <f>AVERAGE(K36:M36)</f>
        <v>26</v>
      </c>
      <c r="O36">
        <f>AVERAGE(D36:M36)</f>
        <v>26.2</v>
      </c>
      <c r="S36" s="52" t="s">
        <v>51</v>
      </c>
      <c r="T36" s="7">
        <v>12</v>
      </c>
      <c r="U36" s="12" t="s">
        <v>43</v>
      </c>
      <c r="V36" s="40">
        <v>39</v>
      </c>
      <c r="W36" s="7">
        <v>61</v>
      </c>
      <c r="X36" s="7">
        <v>65</v>
      </c>
      <c r="Y36" s="7">
        <v>54</v>
      </c>
      <c r="Z36" s="40">
        <v>62</v>
      </c>
      <c r="AA36" s="7">
        <v>25</v>
      </c>
      <c r="AB36" s="7">
        <v>33</v>
      </c>
      <c r="AC36" s="7">
        <v>38</v>
      </c>
      <c r="AD36" s="7">
        <v>56</v>
      </c>
      <c r="AE36" s="40">
        <v>36</v>
      </c>
      <c r="AF36">
        <f>AVERAGE(AC36:AE36)</f>
        <v>43.333333333333336</v>
      </c>
      <c r="AG36">
        <f>AVERAGE(V36:AE36)</f>
        <v>46.9</v>
      </c>
      <c r="AH36" t="s">
        <v>234</v>
      </c>
      <c r="AK36" s="52" t="s">
        <v>51</v>
      </c>
      <c r="AL36" s="7">
        <v>12</v>
      </c>
      <c r="AM36" s="12" t="s">
        <v>43</v>
      </c>
      <c r="AN36" s="40">
        <v>17</v>
      </c>
      <c r="AO36" s="7">
        <v>4</v>
      </c>
      <c r="AP36" s="7">
        <v>28</v>
      </c>
      <c r="AQ36" s="7">
        <v>5</v>
      </c>
      <c r="AR36" s="40">
        <v>3</v>
      </c>
      <c r="AS36" s="7">
        <v>1</v>
      </c>
      <c r="AT36" s="7">
        <v>6</v>
      </c>
      <c r="AU36" s="7">
        <v>5</v>
      </c>
      <c r="AV36" s="7">
        <v>9</v>
      </c>
      <c r="AW36" s="40">
        <v>6</v>
      </c>
      <c r="AX36">
        <f>AVERAGE(AU36:AW36)</f>
        <v>6.666666666666667</v>
      </c>
      <c r="AY36">
        <f>AVERAGE(AN36:AW36)</f>
        <v>8.4</v>
      </c>
    </row>
    <row r="37" spans="1:52">
      <c r="A37" s="51">
        <v>546</v>
      </c>
      <c r="B37" s="7">
        <v>9</v>
      </c>
      <c r="C37" s="12" t="s">
        <v>43</v>
      </c>
      <c r="D37" s="43">
        <v>36</v>
      </c>
      <c r="E37" s="7">
        <v>19</v>
      </c>
      <c r="F37" s="7">
        <v>69</v>
      </c>
      <c r="G37" s="7">
        <v>37</v>
      </c>
      <c r="H37" s="7">
        <v>28</v>
      </c>
      <c r="I37" s="7">
        <v>43</v>
      </c>
      <c r="J37" s="7">
        <v>34</v>
      </c>
      <c r="K37" s="7">
        <v>41</v>
      </c>
      <c r="L37" s="7">
        <v>44</v>
      </c>
      <c r="M37" s="7">
        <v>32</v>
      </c>
      <c r="N37">
        <f>AVERAGE(K37:M37)</f>
        <v>39</v>
      </c>
      <c r="O37">
        <f>AVERAGE(D37:M37)</f>
        <v>38.299999999999997</v>
      </c>
      <c r="S37" s="51">
        <v>546</v>
      </c>
      <c r="T37" s="7">
        <v>9</v>
      </c>
      <c r="U37" s="12" t="s">
        <v>43</v>
      </c>
      <c r="V37" s="7">
        <v>37</v>
      </c>
      <c r="W37" s="7">
        <v>25</v>
      </c>
      <c r="X37" s="7">
        <v>90</v>
      </c>
      <c r="Y37" s="7">
        <v>42</v>
      </c>
      <c r="Z37" s="7">
        <v>31</v>
      </c>
      <c r="AA37" s="7">
        <v>50</v>
      </c>
      <c r="AB37" s="7">
        <v>37</v>
      </c>
      <c r="AC37" s="7">
        <v>56</v>
      </c>
      <c r="AD37" s="7">
        <v>59</v>
      </c>
      <c r="AE37" s="7">
        <v>49</v>
      </c>
      <c r="AF37">
        <f>AVERAGE(AC37:AE37)</f>
        <v>54.666666666666664</v>
      </c>
      <c r="AG37">
        <f>AVERAGE(V37:AE37)</f>
        <v>47.6</v>
      </c>
      <c r="AH37" t="s">
        <v>36</v>
      </c>
      <c r="AK37" s="51">
        <v>546</v>
      </c>
      <c r="AL37" s="7">
        <v>9</v>
      </c>
      <c r="AM37" s="12" t="s">
        <v>43</v>
      </c>
      <c r="AN37" s="7">
        <v>53</v>
      </c>
      <c r="AO37" s="7">
        <v>89</v>
      </c>
      <c r="AP37" s="7">
        <v>44</v>
      </c>
      <c r="AQ37" s="7">
        <v>55</v>
      </c>
      <c r="AR37" s="7">
        <v>21</v>
      </c>
      <c r="AS37" s="7">
        <v>12</v>
      </c>
      <c r="AT37" s="7">
        <v>33</v>
      </c>
      <c r="AU37" s="7">
        <v>5</v>
      </c>
      <c r="AV37" s="7">
        <v>8</v>
      </c>
      <c r="AW37" s="7">
        <v>37</v>
      </c>
      <c r="AX37">
        <f>AVERAGE(AU37:AW37)</f>
        <v>16.666666666666668</v>
      </c>
      <c r="AY37">
        <f>AVERAGE(AN37:AW37)</f>
        <v>35.700000000000003</v>
      </c>
    </row>
    <row r="38" spans="1:52">
      <c r="A38" s="50" t="s">
        <v>46</v>
      </c>
      <c r="B38" s="7">
        <v>10</v>
      </c>
      <c r="C38" s="12" t="s">
        <v>43</v>
      </c>
      <c r="D38" s="7">
        <v>54</v>
      </c>
      <c r="E38" s="7">
        <v>52</v>
      </c>
      <c r="F38" s="7">
        <v>59</v>
      </c>
      <c r="G38" s="7">
        <v>42</v>
      </c>
      <c r="H38" s="7">
        <v>49</v>
      </c>
      <c r="I38" s="7">
        <v>48</v>
      </c>
      <c r="J38" s="7">
        <v>45</v>
      </c>
      <c r="K38" s="7">
        <v>35</v>
      </c>
      <c r="L38" s="7">
        <v>37</v>
      </c>
      <c r="M38" s="7">
        <v>35</v>
      </c>
      <c r="N38">
        <f>AVERAGE(K38:M38)</f>
        <v>35.666666666666664</v>
      </c>
      <c r="O38">
        <f>AVERAGE(D38:M38)</f>
        <v>45.6</v>
      </c>
      <c r="P38" t="s">
        <v>235</v>
      </c>
      <c r="S38" s="50" t="s">
        <v>46</v>
      </c>
      <c r="T38" s="7">
        <v>10</v>
      </c>
      <c r="U38" s="12" t="s">
        <v>43</v>
      </c>
      <c r="V38" s="7">
        <v>113</v>
      </c>
      <c r="W38" s="7">
        <v>127</v>
      </c>
      <c r="X38" s="7">
        <v>128</v>
      </c>
      <c r="Y38" s="7">
        <v>62</v>
      </c>
      <c r="Z38" s="7">
        <v>85</v>
      </c>
      <c r="AA38" s="7">
        <v>79</v>
      </c>
      <c r="AB38" s="7">
        <v>86</v>
      </c>
      <c r="AC38" s="7">
        <v>58</v>
      </c>
      <c r="AD38" s="7">
        <v>62</v>
      </c>
      <c r="AE38" s="7">
        <v>58</v>
      </c>
      <c r="AF38">
        <f>AVERAGE(AC38:AE38)</f>
        <v>59.333333333333336</v>
      </c>
      <c r="AG38">
        <f>AVERAGE(V38:AE38)</f>
        <v>85.8</v>
      </c>
      <c r="AH38" t="s">
        <v>36</v>
      </c>
      <c r="AK38" s="50" t="s">
        <v>46</v>
      </c>
      <c r="AL38" s="7">
        <v>10</v>
      </c>
      <c r="AM38" s="12" t="s">
        <v>43</v>
      </c>
      <c r="AN38" s="7">
        <v>49</v>
      </c>
      <c r="AO38" s="7">
        <v>15</v>
      </c>
      <c r="AP38" s="7">
        <v>37</v>
      </c>
      <c r="AQ38" s="7">
        <v>8</v>
      </c>
      <c r="AR38" s="7">
        <v>16</v>
      </c>
      <c r="AS38" s="7">
        <v>9</v>
      </c>
      <c r="AT38" s="7">
        <v>23</v>
      </c>
      <c r="AU38" s="7">
        <v>11</v>
      </c>
      <c r="AV38" s="7">
        <v>29</v>
      </c>
      <c r="AW38" s="7">
        <v>26</v>
      </c>
      <c r="AX38">
        <f>AVERAGE(AU38:AW38)</f>
        <v>22</v>
      </c>
      <c r="AY38">
        <f>AVERAGE(AN38:AW38)</f>
        <v>22.3</v>
      </c>
    </row>
    <row r="39" spans="1:52">
      <c r="A39" s="50" t="s">
        <v>50</v>
      </c>
      <c r="B39" s="7">
        <v>11</v>
      </c>
      <c r="C39" s="12" t="s">
        <v>43</v>
      </c>
      <c r="D39" s="7">
        <v>32</v>
      </c>
      <c r="E39" s="7">
        <v>34</v>
      </c>
      <c r="F39" s="7">
        <v>34</v>
      </c>
      <c r="G39" s="7">
        <v>36</v>
      </c>
      <c r="H39" s="49">
        <v>52</v>
      </c>
      <c r="I39" s="7">
        <v>75</v>
      </c>
      <c r="J39" s="7">
        <v>75</v>
      </c>
      <c r="K39" s="7">
        <v>50</v>
      </c>
      <c r="L39" s="7">
        <v>40</v>
      </c>
      <c r="M39" s="7">
        <v>29</v>
      </c>
      <c r="N39">
        <f>AVERAGE(K39:M39)</f>
        <v>39.666666666666664</v>
      </c>
      <c r="O39">
        <f>AVERAGE(D39:M39)</f>
        <v>45.7</v>
      </c>
      <c r="S39" s="50" t="s">
        <v>50</v>
      </c>
      <c r="T39" s="7">
        <v>11</v>
      </c>
      <c r="U39" s="12" t="s">
        <v>43</v>
      </c>
      <c r="V39" s="7">
        <v>38</v>
      </c>
      <c r="W39" s="7">
        <v>39</v>
      </c>
      <c r="X39" s="7">
        <v>42</v>
      </c>
      <c r="Y39" s="7">
        <v>72</v>
      </c>
      <c r="Z39" s="49">
        <v>76</v>
      </c>
      <c r="AA39" s="7">
        <v>128</v>
      </c>
      <c r="AB39" s="7">
        <v>157</v>
      </c>
      <c r="AC39" s="7">
        <v>70</v>
      </c>
      <c r="AD39" s="7">
        <v>72</v>
      </c>
      <c r="AE39" s="7">
        <v>61</v>
      </c>
      <c r="AF39">
        <f>AVERAGE(AC39:AE39)</f>
        <v>67.666666666666671</v>
      </c>
      <c r="AG39">
        <f>AVERAGE(V39:AE39)</f>
        <v>75.5</v>
      </c>
      <c r="AH39" t="s">
        <v>234</v>
      </c>
      <c r="AK39" s="50" t="s">
        <v>50</v>
      </c>
      <c r="AL39" s="7">
        <v>11</v>
      </c>
      <c r="AM39" s="12" t="s">
        <v>43</v>
      </c>
      <c r="AN39" s="7">
        <v>19</v>
      </c>
      <c r="AO39" s="7">
        <v>7</v>
      </c>
      <c r="AP39" s="7">
        <v>8</v>
      </c>
      <c r="AQ39" s="7">
        <v>11</v>
      </c>
      <c r="AR39" s="49">
        <v>4</v>
      </c>
      <c r="AS39" s="7">
        <v>12</v>
      </c>
      <c r="AT39" s="7">
        <v>15</v>
      </c>
      <c r="AU39" s="7">
        <v>41</v>
      </c>
      <c r="AV39" s="7">
        <v>9</v>
      </c>
      <c r="AW39" s="7">
        <v>20</v>
      </c>
      <c r="AX39">
        <f>AVERAGE(AU39:AW39)</f>
        <v>23.333333333333332</v>
      </c>
      <c r="AY39">
        <f>AVERAGE(AN39:AW39)</f>
        <v>14.6</v>
      </c>
    </row>
    <row r="40" spans="1:52">
      <c r="A40" s="52" t="s">
        <v>52</v>
      </c>
      <c r="B40" s="7">
        <v>13</v>
      </c>
      <c r="C40" s="12" t="s">
        <v>43</v>
      </c>
      <c r="D40" s="40">
        <v>31</v>
      </c>
      <c r="E40" s="7">
        <v>54</v>
      </c>
      <c r="F40" s="7">
        <v>67</v>
      </c>
      <c r="G40" s="7">
        <v>75</v>
      </c>
      <c r="H40" s="40">
        <v>75</v>
      </c>
      <c r="I40" s="7">
        <v>75</v>
      </c>
      <c r="J40" s="7">
        <v>75</v>
      </c>
      <c r="K40" s="7">
        <v>75</v>
      </c>
      <c r="L40" s="7">
        <v>75</v>
      </c>
      <c r="M40" s="40">
        <v>75</v>
      </c>
      <c r="N40">
        <f>AVERAGE(K40:M40)</f>
        <v>75</v>
      </c>
      <c r="O40">
        <f>AVERAGE(D40:M40)</f>
        <v>67.7</v>
      </c>
      <c r="S40" s="52" t="s">
        <v>52</v>
      </c>
      <c r="T40" s="7">
        <v>13</v>
      </c>
      <c r="U40" s="12" t="s">
        <v>43</v>
      </c>
      <c r="V40" s="40">
        <v>70</v>
      </c>
      <c r="W40" s="7">
        <v>365</v>
      </c>
      <c r="X40" s="7">
        <v>485</v>
      </c>
      <c r="Y40" s="7">
        <v>372</v>
      </c>
      <c r="Z40" s="40">
        <v>581</v>
      </c>
      <c r="AA40" s="7">
        <v>674</v>
      </c>
      <c r="AB40" s="7">
        <v>435</v>
      </c>
      <c r="AC40" s="7">
        <v>603</v>
      </c>
      <c r="AD40" s="7">
        <v>691</v>
      </c>
      <c r="AE40" s="40">
        <v>503</v>
      </c>
      <c r="AF40">
        <f>AVERAGE(AC40:AE40)</f>
        <v>599</v>
      </c>
      <c r="AG40">
        <f>AVERAGE(V40:AE40)</f>
        <v>477.9</v>
      </c>
      <c r="AH40" t="s">
        <v>36</v>
      </c>
      <c r="AK40" s="52" t="s">
        <v>52</v>
      </c>
      <c r="AL40" s="7">
        <v>13</v>
      </c>
      <c r="AM40" s="12" t="s">
        <v>43</v>
      </c>
      <c r="AN40" s="40">
        <v>5</v>
      </c>
      <c r="AO40" s="7">
        <v>37</v>
      </c>
      <c r="AP40" s="7">
        <v>27</v>
      </c>
      <c r="AQ40" s="7">
        <v>0</v>
      </c>
      <c r="AR40" s="40">
        <v>3</v>
      </c>
      <c r="AS40" s="7">
        <v>9</v>
      </c>
      <c r="AT40" s="7">
        <v>7</v>
      </c>
      <c r="AU40" s="7">
        <v>22</v>
      </c>
      <c r="AV40" s="7">
        <v>9</v>
      </c>
      <c r="AW40" s="40">
        <v>3</v>
      </c>
      <c r="AX40">
        <f>AVERAGE(AU40:AW40)</f>
        <v>11.333333333333334</v>
      </c>
      <c r="AY40">
        <f>AVERAGE(AN40:AW40)</f>
        <v>12.2</v>
      </c>
    </row>
    <row r="43" spans="1:52">
      <c r="N43" s="48" t="s">
        <v>230</v>
      </c>
      <c r="O43" s="48" t="s">
        <v>231</v>
      </c>
      <c r="P43" t="s">
        <v>232</v>
      </c>
      <c r="AF43" s="48" t="s">
        <v>230</v>
      </c>
      <c r="AG43" s="48" t="s">
        <v>231</v>
      </c>
      <c r="AH43" t="s">
        <v>232</v>
      </c>
      <c r="AX43" s="48" t="s">
        <v>230</v>
      </c>
      <c r="AY43" s="48" t="s">
        <v>231</v>
      </c>
      <c r="AZ43" t="s">
        <v>232</v>
      </c>
    </row>
    <row r="44" spans="1:52">
      <c r="A44" s="50" t="s">
        <v>33</v>
      </c>
      <c r="B44" s="7">
        <v>7</v>
      </c>
      <c r="C44" s="12" t="s">
        <v>35</v>
      </c>
      <c r="D44" s="7">
        <v>75</v>
      </c>
      <c r="E44" s="7">
        <v>60</v>
      </c>
      <c r="F44" s="7">
        <v>69</v>
      </c>
      <c r="G44" s="7">
        <v>50</v>
      </c>
      <c r="H44" s="7">
        <v>54</v>
      </c>
      <c r="I44" s="7">
        <v>28</v>
      </c>
      <c r="J44" s="7">
        <v>36</v>
      </c>
      <c r="K44" s="7">
        <v>17</v>
      </c>
      <c r="L44" s="7">
        <v>13</v>
      </c>
      <c r="M44" s="7">
        <v>22</v>
      </c>
      <c r="N44">
        <f>AVERAGE(K44:M44)</f>
        <v>17.333333333333332</v>
      </c>
      <c r="O44">
        <f>AVERAGE(D44:M44)</f>
        <v>42.4</v>
      </c>
      <c r="P44" t="s">
        <v>236</v>
      </c>
      <c r="S44" s="50" t="s">
        <v>33</v>
      </c>
      <c r="T44" s="7">
        <v>7</v>
      </c>
      <c r="U44" s="12" t="s">
        <v>35</v>
      </c>
      <c r="V44" s="7">
        <v>117</v>
      </c>
      <c r="W44" s="7">
        <v>104</v>
      </c>
      <c r="X44" s="7">
        <v>180</v>
      </c>
      <c r="Y44" s="7">
        <v>86</v>
      </c>
      <c r="Z44" s="7">
        <v>85</v>
      </c>
      <c r="AA44" s="7">
        <v>39</v>
      </c>
      <c r="AB44" s="7">
        <v>46</v>
      </c>
      <c r="AC44" s="7">
        <v>19</v>
      </c>
      <c r="AD44" s="7">
        <v>15</v>
      </c>
      <c r="AE44" s="7">
        <v>35</v>
      </c>
      <c r="AF44">
        <f>AVERAGE(AC44:AE44)</f>
        <v>23</v>
      </c>
      <c r="AG44">
        <f>AVERAGE(V44:AE44)</f>
        <v>72.599999999999994</v>
      </c>
      <c r="AH44" t="s">
        <v>236</v>
      </c>
      <c r="AK44" s="50" t="s">
        <v>33</v>
      </c>
      <c r="AL44" s="7">
        <v>7</v>
      </c>
      <c r="AM44" s="12" t="s">
        <v>35</v>
      </c>
      <c r="AN44" s="7">
        <v>34</v>
      </c>
      <c r="AO44" s="7">
        <v>59</v>
      </c>
      <c r="AP44" s="7">
        <v>69</v>
      </c>
      <c r="AQ44" s="7">
        <v>21</v>
      </c>
      <c r="AR44" s="7">
        <v>19</v>
      </c>
      <c r="AS44" s="7">
        <v>16</v>
      </c>
      <c r="AT44" s="7">
        <v>7</v>
      </c>
      <c r="AU44" s="7">
        <v>3</v>
      </c>
      <c r="AV44" s="7">
        <v>6</v>
      </c>
      <c r="AW44" s="7">
        <v>5</v>
      </c>
      <c r="AX44">
        <f>AVERAGE(AU44:AW44)</f>
        <v>4.666666666666667</v>
      </c>
      <c r="AY44">
        <f>AVERAGE(AN44:AW44)</f>
        <v>23.9</v>
      </c>
      <c r="AZ44" t="s">
        <v>236</v>
      </c>
    </row>
    <row r="45" spans="1:52">
      <c r="A45" s="50" t="s">
        <v>39</v>
      </c>
      <c r="B45" s="7">
        <v>8</v>
      </c>
      <c r="C45" s="12" t="s">
        <v>35</v>
      </c>
      <c r="D45" s="7">
        <v>27</v>
      </c>
      <c r="E45" s="7">
        <v>34</v>
      </c>
      <c r="F45" s="7">
        <v>28</v>
      </c>
      <c r="G45" s="7">
        <v>11</v>
      </c>
      <c r="H45" s="7">
        <v>7</v>
      </c>
      <c r="I45" s="7">
        <v>13</v>
      </c>
      <c r="J45" s="7">
        <v>19</v>
      </c>
      <c r="K45" s="7">
        <v>7</v>
      </c>
      <c r="L45" s="7">
        <v>9</v>
      </c>
      <c r="M45" s="7">
        <v>3</v>
      </c>
      <c r="N45">
        <f>AVERAGE(K45:M45)</f>
        <v>6.333333333333333</v>
      </c>
      <c r="O45">
        <f>AVERAGE(D45:M45)</f>
        <v>15.8</v>
      </c>
      <c r="P45" t="s">
        <v>236</v>
      </c>
      <c r="S45" s="50" t="s">
        <v>39</v>
      </c>
      <c r="T45" s="7">
        <v>8</v>
      </c>
      <c r="U45" s="12" t="s">
        <v>35</v>
      </c>
      <c r="V45" s="7">
        <v>48</v>
      </c>
      <c r="W45" s="7">
        <v>58</v>
      </c>
      <c r="X45" s="7">
        <v>54</v>
      </c>
      <c r="Y45" s="7">
        <v>14</v>
      </c>
      <c r="Z45" s="7">
        <v>10</v>
      </c>
      <c r="AA45" s="7">
        <v>19</v>
      </c>
      <c r="AB45" s="7">
        <v>33</v>
      </c>
      <c r="AC45" s="7">
        <v>10</v>
      </c>
      <c r="AD45" s="7">
        <v>15</v>
      </c>
      <c r="AE45" s="7">
        <v>5</v>
      </c>
      <c r="AF45">
        <f>AVERAGE(AC45:AE45)</f>
        <v>10</v>
      </c>
      <c r="AG45">
        <f>AVERAGE(V45:AE45)</f>
        <v>26.6</v>
      </c>
      <c r="AH45" t="s">
        <v>236</v>
      </c>
      <c r="AK45" s="50" t="s">
        <v>39</v>
      </c>
      <c r="AL45" s="7">
        <v>8</v>
      </c>
      <c r="AM45" s="12" t="s">
        <v>35</v>
      </c>
      <c r="AN45" s="7">
        <v>19</v>
      </c>
      <c r="AO45" s="7">
        <v>5</v>
      </c>
      <c r="AP45" s="7">
        <v>12</v>
      </c>
      <c r="AQ45" s="7">
        <v>1</v>
      </c>
      <c r="AR45" s="7">
        <v>4</v>
      </c>
      <c r="AS45" s="7">
        <v>4</v>
      </c>
      <c r="AT45" s="7">
        <v>8</v>
      </c>
      <c r="AU45" s="7">
        <v>1</v>
      </c>
      <c r="AV45" s="7">
        <v>2</v>
      </c>
      <c r="AW45" s="7">
        <v>5</v>
      </c>
      <c r="AX45">
        <f>AVERAGE(AU45:AW45)</f>
        <v>2.6666666666666665</v>
      </c>
      <c r="AY45">
        <f>AVERAGE(AN45:AW45)</f>
        <v>6.1</v>
      </c>
      <c r="AZ45" t="s">
        <v>236</v>
      </c>
    </row>
    <row r="46" spans="1:52">
      <c r="A46" s="52" t="s">
        <v>53</v>
      </c>
      <c r="B46" s="7">
        <v>14</v>
      </c>
      <c r="C46" s="12" t="s">
        <v>35</v>
      </c>
      <c r="D46" s="7">
        <v>57</v>
      </c>
      <c r="E46" s="7">
        <v>75</v>
      </c>
      <c r="F46" s="7">
        <v>70</v>
      </c>
      <c r="G46" s="7">
        <v>75</v>
      </c>
      <c r="H46" s="7">
        <v>69</v>
      </c>
      <c r="I46" s="7">
        <v>61</v>
      </c>
      <c r="J46" s="7">
        <v>34</v>
      </c>
      <c r="K46" s="7">
        <v>30</v>
      </c>
      <c r="L46" s="7">
        <v>57</v>
      </c>
      <c r="M46" s="7">
        <v>24</v>
      </c>
      <c r="N46">
        <f>AVERAGE(K46:M46)</f>
        <v>37</v>
      </c>
      <c r="O46">
        <f>AVERAGE(D46:M46)</f>
        <v>55.2</v>
      </c>
      <c r="P46" t="s">
        <v>236</v>
      </c>
      <c r="S46" s="52" t="s">
        <v>53</v>
      </c>
      <c r="T46" s="7">
        <v>14</v>
      </c>
      <c r="U46" s="12" t="s">
        <v>35</v>
      </c>
      <c r="V46" s="7">
        <v>110</v>
      </c>
      <c r="W46" s="7">
        <v>180</v>
      </c>
      <c r="X46" s="7">
        <v>130</v>
      </c>
      <c r="Y46" s="7">
        <v>153</v>
      </c>
      <c r="Z46" s="7">
        <v>117</v>
      </c>
      <c r="AA46" s="7">
        <v>114</v>
      </c>
      <c r="AB46" s="7">
        <v>67</v>
      </c>
      <c r="AC46" s="7">
        <v>60</v>
      </c>
      <c r="AD46" s="7">
        <v>156</v>
      </c>
      <c r="AE46" s="7">
        <v>42</v>
      </c>
      <c r="AF46">
        <f>AVERAGE(AC46:AE46)</f>
        <v>86</v>
      </c>
      <c r="AG46">
        <f>AVERAGE(V46:AE46)</f>
        <v>112.9</v>
      </c>
      <c r="AH46" t="s">
        <v>236</v>
      </c>
      <c r="AK46" s="52" t="s">
        <v>53</v>
      </c>
      <c r="AL46" s="7">
        <v>14</v>
      </c>
      <c r="AM46" s="12" t="s">
        <v>35</v>
      </c>
      <c r="AN46" s="7">
        <v>116</v>
      </c>
      <c r="AO46" s="7">
        <v>74</v>
      </c>
      <c r="AP46" s="7">
        <v>119</v>
      </c>
      <c r="AQ46" s="7">
        <v>43</v>
      </c>
      <c r="AR46" s="7">
        <v>66</v>
      </c>
      <c r="AS46" s="7">
        <v>78</v>
      </c>
      <c r="AT46" s="7">
        <v>103</v>
      </c>
      <c r="AU46" s="7">
        <v>56</v>
      </c>
      <c r="AV46" s="7">
        <v>76</v>
      </c>
      <c r="AW46" s="7">
        <v>57</v>
      </c>
      <c r="AX46">
        <f>AVERAGE(AU46:AW46)</f>
        <v>63</v>
      </c>
      <c r="AY46">
        <f>AVERAGE(AN46:AW46)</f>
        <v>78.8</v>
      </c>
      <c r="AZ46" t="s">
        <v>236</v>
      </c>
    </row>
  </sheetData>
  <sortState xmlns:xlrd2="http://schemas.microsoft.com/office/spreadsheetml/2017/richdata2" ref="S25:T32">
    <sortCondition ref="T25:T32"/>
  </sortState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6"/>
  <sheetViews>
    <sheetView topLeftCell="A19" workbookViewId="0"/>
  </sheetViews>
  <sheetFormatPr defaultRowHeight="14.45"/>
  <cols>
    <col min="1" max="1" width="23" customWidth="1"/>
    <col min="3" max="3" width="14.7109375" customWidth="1"/>
    <col min="4" max="4" width="9.7109375" bestFit="1" customWidth="1"/>
    <col min="5" max="5" width="10.7109375" customWidth="1"/>
    <col min="6" max="6" width="10" customWidth="1"/>
    <col min="7" max="8" width="10.28515625" customWidth="1"/>
    <col min="9" max="10" width="10" customWidth="1"/>
    <col min="11" max="11" width="10.140625" customWidth="1"/>
    <col min="12" max="12" width="10.28515625" customWidth="1"/>
    <col min="13" max="14" width="10.42578125" customWidth="1"/>
  </cols>
  <sheetData>
    <row r="1" spans="1:5">
      <c r="A1" t="s">
        <v>237</v>
      </c>
    </row>
    <row r="2" spans="1:5">
      <c r="A2" t="s">
        <v>238</v>
      </c>
      <c r="E2" t="s">
        <v>239</v>
      </c>
    </row>
    <row r="3" spans="1:5">
      <c r="A3" t="s">
        <v>203</v>
      </c>
    </row>
    <row r="5" spans="1:5">
      <c r="A5" t="s">
        <v>9</v>
      </c>
    </row>
    <row r="6" spans="1:5">
      <c r="A6" t="s">
        <v>58</v>
      </c>
      <c r="B6" t="s">
        <v>59</v>
      </c>
    </row>
    <row r="7" spans="1:5">
      <c r="A7" t="s">
        <v>61</v>
      </c>
      <c r="B7" t="s">
        <v>62</v>
      </c>
    </row>
    <row r="8" spans="1:5">
      <c r="A8" t="s">
        <v>64</v>
      </c>
      <c r="B8" t="s">
        <v>65</v>
      </c>
    </row>
    <row r="9" spans="1:5">
      <c r="A9" t="s">
        <v>67</v>
      </c>
      <c r="B9" t="s">
        <v>68</v>
      </c>
    </row>
    <row r="10" spans="1:5">
      <c r="A10" t="s">
        <v>70</v>
      </c>
      <c r="B10" t="s">
        <v>71</v>
      </c>
    </row>
    <row r="11" spans="1:5">
      <c r="A11" t="s">
        <v>73</v>
      </c>
      <c r="B11" t="s">
        <v>74</v>
      </c>
    </row>
    <row r="12" spans="1:5">
      <c r="A12" t="s">
        <v>76</v>
      </c>
      <c r="B12" t="s">
        <v>77</v>
      </c>
    </row>
    <row r="13" spans="1:5">
      <c r="A13" t="s">
        <v>79</v>
      </c>
      <c r="B13" t="s">
        <v>80</v>
      </c>
    </row>
    <row r="14" spans="1:5">
      <c r="A14" t="s">
        <v>82</v>
      </c>
      <c r="B14" t="s">
        <v>83</v>
      </c>
    </row>
    <row r="15" spans="1:5">
      <c r="A15" t="s">
        <v>85</v>
      </c>
      <c r="B15" t="s">
        <v>83</v>
      </c>
    </row>
    <row r="17" spans="1:14">
      <c r="A17" s="64" t="s">
        <v>240</v>
      </c>
      <c r="C17" s="76" t="s">
        <v>241</v>
      </c>
    </row>
    <row r="18" spans="1:14">
      <c r="A18" s="65" t="s">
        <v>242</v>
      </c>
    </row>
    <row r="19" spans="1:14">
      <c r="A19" s="66" t="s">
        <v>243</v>
      </c>
    </row>
    <row r="20" spans="1:14">
      <c r="A20" s="68" t="s">
        <v>244</v>
      </c>
      <c r="H20" s="10"/>
    </row>
    <row r="21" spans="1:14">
      <c r="A21" s="70" t="s">
        <v>245</v>
      </c>
    </row>
    <row r="22" spans="1:14">
      <c r="A22" s="72" t="s">
        <v>246</v>
      </c>
    </row>
    <row r="23" spans="1:14">
      <c r="A23" s="75" t="s">
        <v>247</v>
      </c>
    </row>
    <row r="25" spans="1:14">
      <c r="A25" s="10"/>
      <c r="B25" s="10"/>
      <c r="C25" s="10" t="s">
        <v>208</v>
      </c>
      <c r="D25" s="58" t="s">
        <v>209</v>
      </c>
      <c r="E25" s="58" t="s">
        <v>209</v>
      </c>
      <c r="F25" s="58" t="s">
        <v>209</v>
      </c>
      <c r="G25" s="58" t="s">
        <v>209</v>
      </c>
      <c r="H25" s="58" t="s">
        <v>209</v>
      </c>
      <c r="I25" s="58" t="s">
        <v>209</v>
      </c>
      <c r="J25" s="58" t="s">
        <v>209</v>
      </c>
      <c r="K25" s="58" t="s">
        <v>209</v>
      </c>
      <c r="L25" s="58" t="s">
        <v>209</v>
      </c>
      <c r="M25" s="58" t="s">
        <v>209</v>
      </c>
      <c r="N25" s="58" t="s">
        <v>209</v>
      </c>
    </row>
    <row r="26" spans="1:14">
      <c r="A26" s="10" t="s">
        <v>210</v>
      </c>
      <c r="B26" s="10"/>
      <c r="C26" s="10"/>
      <c r="D26" s="5" t="s">
        <v>211</v>
      </c>
      <c r="E26" s="5" t="s">
        <v>212</v>
      </c>
      <c r="F26" s="5" t="s">
        <v>213</v>
      </c>
      <c r="G26" s="5" t="s">
        <v>214</v>
      </c>
      <c r="H26" s="5" t="s">
        <v>215</v>
      </c>
      <c r="I26" s="5" t="s">
        <v>217</v>
      </c>
      <c r="J26" s="5" t="s">
        <v>216</v>
      </c>
      <c r="K26" s="5" t="s">
        <v>218</v>
      </c>
      <c r="L26" s="5" t="s">
        <v>219</v>
      </c>
      <c r="M26" s="5" t="s">
        <v>220</v>
      </c>
      <c r="N26" s="5" t="s">
        <v>221</v>
      </c>
    </row>
    <row r="27" spans="1:14">
      <c r="A27" s="10" t="s">
        <v>222</v>
      </c>
      <c r="B27" s="10" t="s">
        <v>223</v>
      </c>
      <c r="C27" s="10" t="s">
        <v>8</v>
      </c>
      <c r="D27" s="2">
        <v>44262</v>
      </c>
      <c r="E27" s="74">
        <v>44263</v>
      </c>
      <c r="F27" s="2">
        <v>44264</v>
      </c>
      <c r="G27" s="2">
        <v>44265</v>
      </c>
      <c r="H27" s="74">
        <v>44266</v>
      </c>
      <c r="I27" s="2">
        <v>44267</v>
      </c>
      <c r="J27" s="2">
        <v>44268</v>
      </c>
      <c r="K27" s="2">
        <v>44269</v>
      </c>
      <c r="L27" s="2">
        <v>44270</v>
      </c>
      <c r="M27" s="2">
        <v>44271</v>
      </c>
      <c r="N27" s="2">
        <v>44272</v>
      </c>
    </row>
    <row r="28" spans="1:14">
      <c r="A28" s="12" t="s">
        <v>57</v>
      </c>
      <c r="B28" s="7">
        <v>1</v>
      </c>
      <c r="C28" s="12" t="s">
        <v>12</v>
      </c>
      <c r="D28" s="40"/>
      <c r="E28" s="7">
        <v>428</v>
      </c>
      <c r="F28" s="7"/>
      <c r="G28" s="8"/>
      <c r="H28" s="41">
        <v>452</v>
      </c>
      <c r="I28" s="90"/>
      <c r="J28" s="82"/>
      <c r="K28" s="7"/>
      <c r="L28" s="7">
        <v>425</v>
      </c>
      <c r="M28" s="7"/>
      <c r="N28" s="40"/>
    </row>
    <row r="29" spans="1:14">
      <c r="A29" s="12" t="s">
        <v>60</v>
      </c>
      <c r="B29" s="7">
        <v>2</v>
      </c>
      <c r="C29" s="12" t="s">
        <v>12</v>
      </c>
      <c r="D29" s="40"/>
      <c r="E29" s="7">
        <v>451</v>
      </c>
      <c r="F29" s="7"/>
      <c r="G29" s="8"/>
      <c r="H29" s="41">
        <v>460</v>
      </c>
      <c r="I29" s="7"/>
      <c r="J29" s="82"/>
      <c r="K29" s="7"/>
      <c r="L29" s="7">
        <v>447</v>
      </c>
      <c r="M29" s="7"/>
      <c r="N29" s="40"/>
    </row>
    <row r="30" spans="1:14">
      <c r="A30" s="12" t="s">
        <v>63</v>
      </c>
      <c r="B30" s="7">
        <v>3</v>
      </c>
      <c r="C30" s="12" t="s">
        <v>12</v>
      </c>
      <c r="D30" s="40"/>
      <c r="E30" s="7">
        <v>391</v>
      </c>
      <c r="F30" s="7"/>
      <c r="G30" s="8"/>
      <c r="H30" s="41">
        <v>386</v>
      </c>
      <c r="I30" s="7"/>
      <c r="J30" s="82"/>
      <c r="K30" s="7"/>
      <c r="L30" s="7">
        <v>413</v>
      </c>
      <c r="M30" s="7"/>
      <c r="N30" s="40"/>
    </row>
    <row r="31" spans="1:14">
      <c r="A31" s="12" t="s">
        <v>66</v>
      </c>
      <c r="B31" s="7">
        <v>4</v>
      </c>
      <c r="C31" s="12" t="s">
        <v>12</v>
      </c>
      <c r="D31" s="40"/>
      <c r="E31" s="7">
        <v>410</v>
      </c>
      <c r="F31" s="7"/>
      <c r="G31" s="8"/>
      <c r="H31" s="41">
        <v>463</v>
      </c>
      <c r="I31" s="7"/>
      <c r="J31" s="82"/>
      <c r="K31" s="7"/>
      <c r="L31" s="7">
        <v>458</v>
      </c>
      <c r="M31" s="7"/>
      <c r="N31" s="40"/>
    </row>
    <row r="32" spans="1:14">
      <c r="A32" s="12" t="s">
        <v>69</v>
      </c>
      <c r="B32" s="7">
        <v>5</v>
      </c>
      <c r="C32" s="12" t="s">
        <v>224</v>
      </c>
      <c r="D32" s="7"/>
      <c r="E32" s="7">
        <v>390</v>
      </c>
      <c r="F32" s="7"/>
      <c r="G32" s="8"/>
      <c r="H32" s="8">
        <v>406</v>
      </c>
      <c r="I32" s="7"/>
      <c r="J32" s="82"/>
      <c r="K32" s="7"/>
      <c r="L32" s="7">
        <v>418</v>
      </c>
      <c r="M32" s="7"/>
      <c r="N32" s="7"/>
    </row>
    <row r="33" spans="1:14">
      <c r="A33" s="12" t="s">
        <v>72</v>
      </c>
      <c r="B33" s="7">
        <v>6</v>
      </c>
      <c r="C33" s="12" t="s">
        <v>224</v>
      </c>
      <c r="D33" s="42"/>
      <c r="E33" s="42"/>
      <c r="F33" s="7"/>
      <c r="G33" s="77"/>
      <c r="H33" s="8">
        <v>410</v>
      </c>
      <c r="I33" s="79"/>
      <c r="J33" s="83"/>
      <c r="K33" s="7"/>
      <c r="L33" s="7">
        <v>428</v>
      </c>
      <c r="M33" s="7"/>
      <c r="N33" s="7"/>
    </row>
    <row r="34" spans="1:14">
      <c r="A34" s="12" t="s">
        <v>75</v>
      </c>
      <c r="B34" s="7">
        <v>7</v>
      </c>
      <c r="C34" s="12" t="s">
        <v>12</v>
      </c>
      <c r="D34" s="7"/>
      <c r="E34" s="7">
        <v>350</v>
      </c>
      <c r="F34" s="7"/>
      <c r="G34" s="8"/>
      <c r="H34" s="8">
        <v>353</v>
      </c>
      <c r="I34" s="7"/>
      <c r="J34" s="84"/>
      <c r="K34" s="6"/>
      <c r="L34" s="72">
        <v>347</v>
      </c>
      <c r="M34" s="7"/>
      <c r="N34" s="7"/>
    </row>
    <row r="35" spans="1:14">
      <c r="A35" s="12" t="s">
        <v>78</v>
      </c>
      <c r="B35" s="7">
        <v>8</v>
      </c>
      <c r="C35" s="12" t="s">
        <v>12</v>
      </c>
      <c r="D35" s="7"/>
      <c r="E35" s="71">
        <v>378</v>
      </c>
      <c r="F35" s="7"/>
      <c r="G35" s="8"/>
      <c r="H35" s="8">
        <v>365</v>
      </c>
      <c r="I35" s="80"/>
      <c r="J35" s="85"/>
      <c r="K35" s="7"/>
      <c r="L35" s="7">
        <v>368</v>
      </c>
      <c r="M35" s="7"/>
      <c r="N35" s="7"/>
    </row>
    <row r="36" spans="1:14">
      <c r="A36" s="12" t="s">
        <v>81</v>
      </c>
      <c r="B36" s="7">
        <v>9</v>
      </c>
      <c r="C36" s="12" t="s">
        <v>12</v>
      </c>
      <c r="D36" s="7"/>
      <c r="E36" s="7">
        <v>327</v>
      </c>
      <c r="F36" s="7"/>
      <c r="G36" s="8"/>
      <c r="H36" s="8">
        <v>358</v>
      </c>
      <c r="I36" s="7"/>
      <c r="J36" s="82"/>
      <c r="K36" s="6"/>
      <c r="L36" s="7">
        <v>362</v>
      </c>
      <c r="M36" s="7"/>
      <c r="N36" s="7"/>
    </row>
    <row r="37" spans="1:14">
      <c r="A37" s="12" t="s">
        <v>84</v>
      </c>
      <c r="B37" s="7">
        <v>10</v>
      </c>
      <c r="C37" s="12" t="s">
        <v>12</v>
      </c>
      <c r="D37" s="7"/>
      <c r="E37" s="71">
        <v>375</v>
      </c>
      <c r="F37" s="7"/>
      <c r="G37" s="78"/>
      <c r="H37" s="8">
        <v>380</v>
      </c>
      <c r="I37" s="7"/>
      <c r="J37" s="82"/>
      <c r="K37" s="7"/>
      <c r="L37" s="7">
        <v>372</v>
      </c>
      <c r="M37" s="7"/>
      <c r="N37" s="7"/>
    </row>
    <row r="38" spans="1:14">
      <c r="A38" s="12" t="s">
        <v>86</v>
      </c>
      <c r="B38" s="7">
        <v>11</v>
      </c>
      <c r="C38" s="12" t="s">
        <v>224</v>
      </c>
      <c r="D38" s="7"/>
      <c r="E38" s="69">
        <v>379</v>
      </c>
      <c r="F38" s="7"/>
      <c r="G38" s="7"/>
      <c r="H38" s="7">
        <v>420</v>
      </c>
      <c r="I38" s="81"/>
      <c r="J38" s="84"/>
      <c r="K38" s="7"/>
      <c r="L38" s="7">
        <v>424</v>
      </c>
      <c r="M38" s="7"/>
      <c r="N38" s="7"/>
    </row>
    <row r="39" spans="1:14">
      <c r="A39" s="12" t="s">
        <v>87</v>
      </c>
      <c r="B39" s="7">
        <v>12</v>
      </c>
      <c r="C39" s="12" t="s">
        <v>224</v>
      </c>
      <c r="D39" s="7"/>
      <c r="E39" s="7">
        <v>371</v>
      </c>
      <c r="F39" s="73"/>
      <c r="G39" s="77"/>
      <c r="H39" s="8">
        <v>395</v>
      </c>
      <c r="I39" s="90"/>
      <c r="J39" s="82"/>
      <c r="K39" s="7"/>
      <c r="L39" s="7">
        <v>408</v>
      </c>
      <c r="M39" s="7"/>
      <c r="N39" s="7"/>
    </row>
    <row r="40" spans="1:14">
      <c r="A40" s="12" t="s">
        <v>88</v>
      </c>
      <c r="B40" s="7">
        <v>13</v>
      </c>
      <c r="C40" s="12" t="s">
        <v>12</v>
      </c>
      <c r="D40" s="7"/>
      <c r="E40" s="7">
        <v>380</v>
      </c>
      <c r="F40" s="7"/>
      <c r="G40" s="8"/>
      <c r="H40" s="8">
        <v>376</v>
      </c>
      <c r="I40" s="7"/>
      <c r="J40" s="82"/>
      <c r="K40" s="7"/>
      <c r="L40" s="7">
        <v>374</v>
      </c>
      <c r="M40" s="7"/>
      <c r="N40" s="7"/>
    </row>
    <row r="41" spans="1:14" ht="25.9">
      <c r="A41" s="61" t="s">
        <v>89</v>
      </c>
      <c r="B41" s="7">
        <v>14</v>
      </c>
      <c r="C41" s="12" t="s">
        <v>12</v>
      </c>
      <c r="D41" s="7"/>
      <c r="E41" s="7">
        <v>316</v>
      </c>
      <c r="F41" s="7"/>
      <c r="G41" s="8"/>
      <c r="H41" s="8">
        <v>328</v>
      </c>
      <c r="I41" s="7"/>
      <c r="J41" s="82"/>
      <c r="K41" s="7"/>
      <c r="L41" s="7">
        <v>337</v>
      </c>
      <c r="M41" s="7"/>
      <c r="N41" s="7"/>
    </row>
    <row r="42" spans="1:14">
      <c r="A42" s="12" t="s">
        <v>90</v>
      </c>
      <c r="B42" s="7">
        <v>15</v>
      </c>
      <c r="C42" s="12" t="s">
        <v>12</v>
      </c>
      <c r="D42" s="67"/>
      <c r="E42" s="7">
        <v>388</v>
      </c>
      <c r="F42" s="7"/>
      <c r="G42" s="8"/>
      <c r="H42" s="8">
        <v>380</v>
      </c>
      <c r="I42" s="7"/>
      <c r="J42" s="82"/>
      <c r="K42" s="7"/>
      <c r="L42" s="7">
        <v>384</v>
      </c>
      <c r="M42" s="7"/>
      <c r="N42" s="7"/>
    </row>
    <row r="43" spans="1:14">
      <c r="A43" s="12" t="s">
        <v>91</v>
      </c>
      <c r="B43" s="7">
        <v>16</v>
      </c>
      <c r="C43" s="12" t="s">
        <v>12</v>
      </c>
      <c r="D43" s="7"/>
      <c r="E43" s="7">
        <v>354</v>
      </c>
      <c r="F43" s="7"/>
      <c r="G43" s="8"/>
      <c r="H43" s="8">
        <v>351</v>
      </c>
      <c r="I43" s="7"/>
      <c r="J43" s="82"/>
      <c r="K43" s="7"/>
      <c r="L43" s="7">
        <v>355</v>
      </c>
      <c r="M43" s="7"/>
      <c r="N43" s="7"/>
    </row>
    <row r="46" spans="1:14">
      <c r="A46" s="10"/>
      <c r="B46" s="10"/>
      <c r="C46" s="10" t="s">
        <v>208</v>
      </c>
      <c r="D46" s="13" t="s">
        <v>225</v>
      </c>
      <c r="E46" s="13" t="s">
        <v>225</v>
      </c>
      <c r="F46" s="13" t="s">
        <v>225</v>
      </c>
      <c r="G46" s="13" t="s">
        <v>225</v>
      </c>
      <c r="H46" s="13" t="s">
        <v>225</v>
      </c>
      <c r="I46" s="13" t="s">
        <v>225</v>
      </c>
      <c r="J46" s="13" t="s">
        <v>225</v>
      </c>
      <c r="K46" s="13" t="s">
        <v>225</v>
      </c>
      <c r="L46" s="13" t="s">
        <v>225</v>
      </c>
      <c r="M46" s="13" t="s">
        <v>225</v>
      </c>
      <c r="N46" s="13" t="s">
        <v>225</v>
      </c>
    </row>
    <row r="47" spans="1:14">
      <c r="A47" s="5" t="s">
        <v>226</v>
      </c>
      <c r="B47" s="10"/>
      <c r="C47" s="10"/>
      <c r="D47" s="5" t="s">
        <v>211</v>
      </c>
      <c r="E47" s="5" t="s">
        <v>212</v>
      </c>
      <c r="F47" s="5" t="s">
        <v>213</v>
      </c>
      <c r="G47" s="5" t="s">
        <v>214</v>
      </c>
      <c r="H47" s="5" t="s">
        <v>215</v>
      </c>
      <c r="I47" s="5" t="s">
        <v>217</v>
      </c>
      <c r="J47" s="5" t="s">
        <v>216</v>
      </c>
      <c r="K47" s="5" t="s">
        <v>218</v>
      </c>
      <c r="L47" s="5" t="s">
        <v>219</v>
      </c>
      <c r="M47" s="5" t="s">
        <v>220</v>
      </c>
      <c r="N47" s="5" t="s">
        <v>221</v>
      </c>
    </row>
    <row r="48" spans="1:14">
      <c r="A48" s="10" t="s">
        <v>222</v>
      </c>
      <c r="B48" s="10" t="s">
        <v>223</v>
      </c>
      <c r="C48" s="10" t="s">
        <v>8</v>
      </c>
      <c r="D48" s="2">
        <v>44262</v>
      </c>
      <c r="E48" s="2">
        <v>44263</v>
      </c>
      <c r="F48" s="2">
        <v>44264</v>
      </c>
      <c r="G48" s="2">
        <v>44265</v>
      </c>
      <c r="H48" s="2">
        <v>44266</v>
      </c>
      <c r="I48" s="2">
        <v>44267</v>
      </c>
      <c r="J48" s="2">
        <v>44268</v>
      </c>
      <c r="K48" s="2">
        <v>44269</v>
      </c>
      <c r="L48" s="2">
        <v>44270</v>
      </c>
      <c r="M48" s="2">
        <v>44271</v>
      </c>
      <c r="N48" s="2">
        <v>44272</v>
      </c>
    </row>
    <row r="49" spans="1:14">
      <c r="A49" s="12" t="s">
        <v>57</v>
      </c>
      <c r="B49" s="7">
        <v>1</v>
      </c>
      <c r="C49" s="12" t="s">
        <v>12</v>
      </c>
      <c r="D49" s="40">
        <v>7</v>
      </c>
      <c r="E49" s="7">
        <v>29</v>
      </c>
      <c r="F49" s="7">
        <v>29</v>
      </c>
      <c r="G49" s="8">
        <v>27</v>
      </c>
      <c r="H49" s="41">
        <v>41</v>
      </c>
      <c r="I49" s="90">
        <v>23</v>
      </c>
      <c r="J49" s="82"/>
      <c r="K49" s="7">
        <v>27</v>
      </c>
      <c r="L49" s="7">
        <v>26</v>
      </c>
      <c r="M49" s="7">
        <v>61</v>
      </c>
      <c r="N49" s="40">
        <v>30</v>
      </c>
    </row>
    <row r="50" spans="1:14">
      <c r="A50" s="12" t="s">
        <v>60</v>
      </c>
      <c r="B50" s="7">
        <v>2</v>
      </c>
      <c r="C50" s="12" t="s">
        <v>12</v>
      </c>
      <c r="D50" s="40">
        <v>13</v>
      </c>
      <c r="E50" s="7">
        <v>26</v>
      </c>
      <c r="F50" s="7">
        <v>30</v>
      </c>
      <c r="G50" s="8">
        <v>48</v>
      </c>
      <c r="H50" s="41">
        <v>47</v>
      </c>
      <c r="I50" s="7">
        <v>71</v>
      </c>
      <c r="J50" s="82"/>
      <c r="K50" s="7">
        <v>74</v>
      </c>
      <c r="L50" s="7">
        <v>75</v>
      </c>
      <c r="M50" s="7">
        <v>75</v>
      </c>
      <c r="N50" s="40">
        <v>75</v>
      </c>
    </row>
    <row r="51" spans="1:14">
      <c r="A51" s="12" t="s">
        <v>63</v>
      </c>
      <c r="B51" s="7">
        <v>3</v>
      </c>
      <c r="C51" s="12" t="s">
        <v>12</v>
      </c>
      <c r="D51" s="40">
        <v>22</v>
      </c>
      <c r="E51" s="7">
        <v>13</v>
      </c>
      <c r="F51" s="7">
        <v>22</v>
      </c>
      <c r="G51" s="8">
        <v>32</v>
      </c>
      <c r="H51" s="41">
        <v>22</v>
      </c>
      <c r="I51" s="7">
        <v>37</v>
      </c>
      <c r="J51" s="82"/>
      <c r="K51" s="7">
        <v>31</v>
      </c>
      <c r="L51" s="7">
        <v>57</v>
      </c>
      <c r="M51" s="7">
        <v>35</v>
      </c>
      <c r="N51" s="40">
        <v>61</v>
      </c>
    </row>
    <row r="52" spans="1:14">
      <c r="A52" s="12" t="s">
        <v>66</v>
      </c>
      <c r="B52" s="7">
        <v>4</v>
      </c>
      <c r="C52" s="12" t="s">
        <v>12</v>
      </c>
      <c r="D52" s="40">
        <v>14</v>
      </c>
      <c r="E52" s="7">
        <v>0</v>
      </c>
      <c r="F52" s="7">
        <v>7</v>
      </c>
      <c r="G52" s="8">
        <v>32</v>
      </c>
      <c r="H52" s="41">
        <v>47</v>
      </c>
      <c r="I52" s="7">
        <v>39</v>
      </c>
      <c r="J52" s="82"/>
      <c r="K52" s="7">
        <v>39</v>
      </c>
      <c r="L52" s="7">
        <v>56</v>
      </c>
      <c r="M52" s="7">
        <v>75</v>
      </c>
      <c r="N52" s="40">
        <v>75</v>
      </c>
    </row>
    <row r="53" spans="1:14">
      <c r="A53" s="12" t="s">
        <v>69</v>
      </c>
      <c r="B53" s="7">
        <v>5</v>
      </c>
      <c r="C53" s="12" t="s">
        <v>224</v>
      </c>
      <c r="D53" s="7">
        <v>10</v>
      </c>
      <c r="E53" s="7">
        <v>3</v>
      </c>
      <c r="F53" s="7">
        <v>29</v>
      </c>
      <c r="G53" s="8">
        <v>17</v>
      </c>
      <c r="H53" s="8">
        <v>7</v>
      </c>
      <c r="I53" s="7">
        <v>16</v>
      </c>
      <c r="J53" s="82"/>
      <c r="K53" s="7">
        <v>22</v>
      </c>
      <c r="L53" s="7">
        <v>27</v>
      </c>
      <c r="M53" s="7">
        <v>33</v>
      </c>
      <c r="N53" s="7">
        <v>29</v>
      </c>
    </row>
    <row r="54" spans="1:14">
      <c r="A54" s="12" t="s">
        <v>72</v>
      </c>
      <c r="B54" s="7">
        <v>6</v>
      </c>
      <c r="C54" s="12" t="s">
        <v>224</v>
      </c>
      <c r="D54" s="42">
        <v>17</v>
      </c>
      <c r="E54" s="42">
        <v>35</v>
      </c>
      <c r="F54" s="7">
        <v>36</v>
      </c>
      <c r="G54" s="77">
        <v>33</v>
      </c>
      <c r="H54" s="8">
        <v>25</v>
      </c>
      <c r="I54" s="79">
        <v>27</v>
      </c>
      <c r="J54" s="83"/>
      <c r="K54" s="7">
        <v>33</v>
      </c>
      <c r="L54" s="7">
        <v>26</v>
      </c>
      <c r="M54" s="7">
        <v>22</v>
      </c>
      <c r="N54" s="7">
        <v>40</v>
      </c>
    </row>
    <row r="55" spans="1:14">
      <c r="A55" s="12" t="s">
        <v>75</v>
      </c>
      <c r="B55" s="7">
        <v>7</v>
      </c>
      <c r="C55" s="12" t="s">
        <v>12</v>
      </c>
      <c r="D55" s="7">
        <v>27</v>
      </c>
      <c r="E55" s="7">
        <v>39</v>
      </c>
      <c r="F55" s="7">
        <v>29</v>
      </c>
      <c r="G55" s="8">
        <v>48</v>
      </c>
      <c r="H55" s="8">
        <v>56</v>
      </c>
      <c r="I55" s="7">
        <v>49</v>
      </c>
      <c r="J55" s="84"/>
      <c r="K55" s="6">
        <v>75</v>
      </c>
      <c r="L55" s="72">
        <v>75</v>
      </c>
      <c r="M55" s="7">
        <v>69</v>
      </c>
      <c r="N55" s="7">
        <v>75</v>
      </c>
    </row>
    <row r="56" spans="1:14">
      <c r="A56" s="12" t="s">
        <v>78</v>
      </c>
      <c r="B56" s="7">
        <v>8</v>
      </c>
      <c r="C56" s="12" t="s">
        <v>12</v>
      </c>
      <c r="D56" s="7">
        <v>11</v>
      </c>
      <c r="E56" s="71">
        <v>32</v>
      </c>
      <c r="F56" s="7">
        <v>40</v>
      </c>
      <c r="G56" s="8">
        <v>39</v>
      </c>
      <c r="H56" s="8">
        <v>35</v>
      </c>
      <c r="I56" s="80">
        <v>48</v>
      </c>
      <c r="J56" s="85"/>
      <c r="K56" s="7">
        <v>54</v>
      </c>
      <c r="L56" s="7">
        <v>58</v>
      </c>
      <c r="M56" s="7">
        <v>52</v>
      </c>
      <c r="N56" s="7">
        <v>63</v>
      </c>
    </row>
    <row r="57" spans="1:14">
      <c r="A57" s="12" t="s">
        <v>81</v>
      </c>
      <c r="B57" s="7">
        <v>9</v>
      </c>
      <c r="C57" s="12" t="s">
        <v>12</v>
      </c>
      <c r="D57" s="7">
        <v>8</v>
      </c>
      <c r="E57" s="7">
        <v>22</v>
      </c>
      <c r="F57" s="7">
        <v>39</v>
      </c>
      <c r="G57" s="8">
        <v>38</v>
      </c>
      <c r="H57" s="8">
        <v>21</v>
      </c>
      <c r="I57" s="7">
        <v>34</v>
      </c>
      <c r="J57" s="82"/>
      <c r="K57" s="6">
        <v>30</v>
      </c>
      <c r="L57" s="7">
        <v>49</v>
      </c>
      <c r="M57" s="7">
        <v>45</v>
      </c>
      <c r="N57" s="7">
        <v>53</v>
      </c>
    </row>
    <row r="58" spans="1:14">
      <c r="A58" s="12" t="s">
        <v>84</v>
      </c>
      <c r="B58" s="7">
        <v>10</v>
      </c>
      <c r="C58" s="12" t="s">
        <v>12</v>
      </c>
      <c r="D58" s="7">
        <v>10</v>
      </c>
      <c r="E58" s="71">
        <v>33</v>
      </c>
      <c r="F58" s="7">
        <v>23</v>
      </c>
      <c r="G58" s="78">
        <v>38</v>
      </c>
      <c r="H58" s="8">
        <v>45</v>
      </c>
      <c r="I58" s="7">
        <v>48</v>
      </c>
      <c r="J58" s="82"/>
      <c r="K58" s="7">
        <v>62</v>
      </c>
      <c r="L58" s="7">
        <v>57</v>
      </c>
      <c r="M58" s="7">
        <v>69</v>
      </c>
      <c r="N58" s="7">
        <v>75</v>
      </c>
    </row>
    <row r="59" spans="1:14">
      <c r="A59" s="12" t="s">
        <v>86</v>
      </c>
      <c r="B59" s="7">
        <v>11</v>
      </c>
      <c r="C59" s="12" t="s">
        <v>224</v>
      </c>
      <c r="D59" s="7">
        <v>32</v>
      </c>
      <c r="E59" s="69">
        <v>49</v>
      </c>
      <c r="F59" s="7">
        <v>75</v>
      </c>
      <c r="G59" s="7">
        <v>75</v>
      </c>
      <c r="H59" s="7">
        <v>32</v>
      </c>
      <c r="I59" s="81">
        <v>32</v>
      </c>
      <c r="J59" s="84"/>
      <c r="K59" s="7">
        <v>18</v>
      </c>
      <c r="L59" s="7">
        <v>38</v>
      </c>
      <c r="M59" s="7">
        <v>23</v>
      </c>
      <c r="N59" s="7">
        <v>37</v>
      </c>
    </row>
    <row r="60" spans="1:14">
      <c r="A60" s="12" t="s">
        <v>87</v>
      </c>
      <c r="B60" s="7">
        <v>12</v>
      </c>
      <c r="C60" s="12" t="s">
        <v>224</v>
      </c>
      <c r="D60" s="7">
        <v>12</v>
      </c>
      <c r="E60" s="7">
        <v>41</v>
      </c>
      <c r="F60" s="73">
        <v>45</v>
      </c>
      <c r="G60" s="77">
        <v>60</v>
      </c>
      <c r="H60" s="8">
        <v>33</v>
      </c>
      <c r="I60" s="90">
        <v>27</v>
      </c>
      <c r="J60" s="82"/>
      <c r="K60" s="7">
        <v>30</v>
      </c>
      <c r="L60" s="7">
        <v>25</v>
      </c>
      <c r="M60" s="7">
        <v>26</v>
      </c>
      <c r="N60" s="7">
        <v>15</v>
      </c>
    </row>
    <row r="61" spans="1:14">
      <c r="A61" s="12" t="s">
        <v>88</v>
      </c>
      <c r="B61" s="7">
        <v>13</v>
      </c>
      <c r="C61" s="12" t="s">
        <v>12</v>
      </c>
      <c r="D61" s="7">
        <v>0</v>
      </c>
      <c r="E61" s="7">
        <v>39</v>
      </c>
      <c r="F61" s="7">
        <v>36</v>
      </c>
      <c r="G61" s="8">
        <v>52</v>
      </c>
      <c r="H61" s="8">
        <v>55</v>
      </c>
      <c r="I61" s="7">
        <v>72</v>
      </c>
      <c r="J61" s="82"/>
      <c r="K61" s="7">
        <v>73</v>
      </c>
      <c r="L61" s="7">
        <v>75</v>
      </c>
      <c r="M61" s="7">
        <v>75</v>
      </c>
      <c r="N61" s="7">
        <v>75</v>
      </c>
    </row>
    <row r="62" spans="1:14" ht="25.9">
      <c r="A62" s="61" t="s">
        <v>89</v>
      </c>
      <c r="B62" s="7">
        <v>14</v>
      </c>
      <c r="C62" s="12" t="s">
        <v>12</v>
      </c>
      <c r="D62" s="7">
        <v>12</v>
      </c>
      <c r="E62" s="7">
        <v>24</v>
      </c>
      <c r="F62" s="7">
        <v>41</v>
      </c>
      <c r="G62" s="8">
        <v>60</v>
      </c>
      <c r="H62" s="8">
        <v>75</v>
      </c>
      <c r="I62" s="7">
        <v>75</v>
      </c>
      <c r="J62" s="82"/>
      <c r="K62" s="7">
        <v>74</v>
      </c>
      <c r="L62" s="7">
        <v>75</v>
      </c>
      <c r="M62" s="7">
        <v>75</v>
      </c>
      <c r="N62" s="7">
        <v>75</v>
      </c>
    </row>
    <row r="63" spans="1:14">
      <c r="A63" s="12" t="s">
        <v>90</v>
      </c>
      <c r="B63" s="7">
        <v>15</v>
      </c>
      <c r="C63" s="12" t="s">
        <v>12</v>
      </c>
      <c r="D63" s="67">
        <v>18</v>
      </c>
      <c r="E63" s="7">
        <v>31</v>
      </c>
      <c r="F63" s="7">
        <v>44</v>
      </c>
      <c r="G63" s="8">
        <v>39</v>
      </c>
      <c r="H63" s="8">
        <v>43</v>
      </c>
      <c r="I63" s="7">
        <v>49</v>
      </c>
      <c r="J63" s="82"/>
      <c r="K63" s="7">
        <v>52</v>
      </c>
      <c r="L63" s="7">
        <v>70</v>
      </c>
      <c r="M63" s="7">
        <v>53</v>
      </c>
      <c r="N63" s="7">
        <v>69</v>
      </c>
    </row>
    <row r="64" spans="1:14">
      <c r="A64" s="12" t="s">
        <v>91</v>
      </c>
      <c r="B64" s="7">
        <v>16</v>
      </c>
      <c r="C64" s="12" t="s">
        <v>12</v>
      </c>
      <c r="D64" s="7">
        <v>13</v>
      </c>
      <c r="E64" s="7">
        <v>29</v>
      </c>
      <c r="F64" s="7">
        <v>47</v>
      </c>
      <c r="G64" s="8">
        <v>29</v>
      </c>
      <c r="H64" s="8">
        <v>33</v>
      </c>
      <c r="I64" s="7">
        <v>45</v>
      </c>
      <c r="J64" s="82"/>
      <c r="K64" s="7">
        <v>49</v>
      </c>
      <c r="L64" s="7">
        <v>53</v>
      </c>
      <c r="M64" s="7">
        <v>61</v>
      </c>
      <c r="N64" s="7">
        <v>68</v>
      </c>
    </row>
    <row r="67" spans="1:14">
      <c r="A67" s="10"/>
      <c r="B67" s="10"/>
      <c r="C67" s="10" t="s">
        <v>208</v>
      </c>
      <c r="D67" s="13" t="s">
        <v>225</v>
      </c>
      <c r="E67" s="13" t="s">
        <v>225</v>
      </c>
      <c r="F67" s="13" t="s">
        <v>225</v>
      </c>
      <c r="G67" s="13" t="s">
        <v>225</v>
      </c>
      <c r="H67" s="13" t="s">
        <v>225</v>
      </c>
      <c r="I67" s="13" t="s">
        <v>225</v>
      </c>
      <c r="J67" s="13" t="s">
        <v>225</v>
      </c>
      <c r="K67" s="13" t="s">
        <v>225</v>
      </c>
      <c r="L67" s="13" t="s">
        <v>225</v>
      </c>
      <c r="M67" s="13" t="s">
        <v>225</v>
      </c>
      <c r="N67" s="13" t="s">
        <v>225</v>
      </c>
    </row>
    <row r="68" spans="1:14">
      <c r="A68" s="5" t="s">
        <v>228</v>
      </c>
      <c r="B68" s="10"/>
      <c r="C68" s="10"/>
      <c r="D68" s="5" t="s">
        <v>211</v>
      </c>
      <c r="E68" s="5" t="s">
        <v>212</v>
      </c>
      <c r="F68" s="5" t="s">
        <v>213</v>
      </c>
      <c r="G68" s="5" t="s">
        <v>214</v>
      </c>
      <c r="H68" s="5" t="s">
        <v>215</v>
      </c>
      <c r="I68" s="5" t="s">
        <v>217</v>
      </c>
      <c r="J68" s="5" t="s">
        <v>216</v>
      </c>
      <c r="K68" s="5" t="s">
        <v>218</v>
      </c>
      <c r="L68" s="5" t="s">
        <v>219</v>
      </c>
      <c r="M68" s="5" t="s">
        <v>220</v>
      </c>
      <c r="N68" s="5" t="s">
        <v>221</v>
      </c>
    </row>
    <row r="69" spans="1:14">
      <c r="A69" s="10" t="s">
        <v>222</v>
      </c>
      <c r="B69" s="10" t="s">
        <v>223</v>
      </c>
      <c r="C69" s="10" t="s">
        <v>8</v>
      </c>
      <c r="D69" s="2">
        <v>44262</v>
      </c>
      <c r="E69" s="2">
        <v>44263</v>
      </c>
      <c r="F69" s="2">
        <v>44264</v>
      </c>
      <c r="G69" s="2">
        <v>44265</v>
      </c>
      <c r="H69" s="2">
        <v>44266</v>
      </c>
      <c r="I69" s="2">
        <v>44267</v>
      </c>
      <c r="J69" s="2">
        <v>44268</v>
      </c>
      <c r="K69" s="2">
        <v>44269</v>
      </c>
      <c r="L69" s="2">
        <v>44270</v>
      </c>
      <c r="M69" s="2">
        <v>44271</v>
      </c>
      <c r="N69" s="2">
        <v>44272</v>
      </c>
    </row>
    <row r="70" spans="1:14">
      <c r="A70" s="12" t="s">
        <v>57</v>
      </c>
      <c r="B70" s="7">
        <v>1</v>
      </c>
      <c r="C70" s="12" t="s">
        <v>12</v>
      </c>
      <c r="D70" s="40">
        <v>22</v>
      </c>
      <c r="E70" s="7">
        <v>86</v>
      </c>
      <c r="F70" s="7">
        <v>41</v>
      </c>
      <c r="G70" s="8">
        <v>46</v>
      </c>
      <c r="H70" s="41">
        <v>93</v>
      </c>
      <c r="I70" s="90">
        <v>53</v>
      </c>
      <c r="J70" s="86"/>
      <c r="K70" s="7">
        <v>49</v>
      </c>
      <c r="L70" s="7">
        <v>49</v>
      </c>
      <c r="M70" s="7">
        <v>164</v>
      </c>
      <c r="N70" s="40">
        <v>62</v>
      </c>
    </row>
    <row r="71" spans="1:14">
      <c r="A71" s="12" t="s">
        <v>60</v>
      </c>
      <c r="B71" s="7">
        <v>2</v>
      </c>
      <c r="C71" s="12" t="s">
        <v>12</v>
      </c>
      <c r="D71" s="40">
        <v>13</v>
      </c>
      <c r="E71" s="7">
        <v>28</v>
      </c>
      <c r="F71" s="7">
        <v>57</v>
      </c>
      <c r="G71" s="8">
        <v>105</v>
      </c>
      <c r="H71" s="41">
        <v>82</v>
      </c>
      <c r="I71" s="7">
        <v>109</v>
      </c>
      <c r="J71" s="86"/>
      <c r="K71" s="7">
        <v>111</v>
      </c>
      <c r="L71" s="7">
        <v>110</v>
      </c>
      <c r="M71" s="7">
        <v>115</v>
      </c>
      <c r="N71" s="40">
        <v>102</v>
      </c>
    </row>
    <row r="72" spans="1:14">
      <c r="A72" s="12" t="s">
        <v>63</v>
      </c>
      <c r="B72" s="7">
        <v>3</v>
      </c>
      <c r="C72" s="12" t="s">
        <v>12</v>
      </c>
      <c r="D72" s="40">
        <v>23</v>
      </c>
      <c r="E72" s="7">
        <v>23</v>
      </c>
      <c r="F72" s="7">
        <v>74</v>
      </c>
      <c r="G72" s="8">
        <v>105</v>
      </c>
      <c r="H72" s="41">
        <v>49</v>
      </c>
      <c r="I72" s="7">
        <v>62</v>
      </c>
      <c r="J72" s="86"/>
      <c r="K72" s="7">
        <v>54</v>
      </c>
      <c r="L72" s="7">
        <v>104</v>
      </c>
      <c r="M72" s="7">
        <v>50</v>
      </c>
      <c r="N72" s="40">
        <v>103</v>
      </c>
    </row>
    <row r="73" spans="1:14">
      <c r="A73" s="12" t="s">
        <v>66</v>
      </c>
      <c r="B73" s="7">
        <v>4</v>
      </c>
      <c r="C73" s="12" t="s">
        <v>12</v>
      </c>
      <c r="D73" s="40">
        <v>28</v>
      </c>
      <c r="E73" s="7">
        <v>0</v>
      </c>
      <c r="F73" s="7">
        <v>17</v>
      </c>
      <c r="G73" s="8">
        <v>114</v>
      </c>
      <c r="H73" s="41">
        <v>112</v>
      </c>
      <c r="I73" s="7">
        <v>62</v>
      </c>
      <c r="J73" s="86"/>
      <c r="K73" s="7">
        <v>59</v>
      </c>
      <c r="L73" s="7">
        <v>243</v>
      </c>
      <c r="M73" s="7">
        <v>262</v>
      </c>
      <c r="N73" s="40">
        <v>340</v>
      </c>
    </row>
    <row r="74" spans="1:14">
      <c r="A74" s="12" t="s">
        <v>69</v>
      </c>
      <c r="B74" s="7">
        <v>5</v>
      </c>
      <c r="C74" s="12" t="s">
        <v>224</v>
      </c>
      <c r="D74" s="7">
        <v>21</v>
      </c>
      <c r="E74" s="7">
        <v>3</v>
      </c>
      <c r="F74" s="7">
        <v>69</v>
      </c>
      <c r="G74" s="8">
        <v>49</v>
      </c>
      <c r="H74" s="8">
        <v>15</v>
      </c>
      <c r="I74" s="7">
        <v>32</v>
      </c>
      <c r="J74" s="86"/>
      <c r="K74" s="7">
        <v>44</v>
      </c>
      <c r="L74" s="7">
        <v>46</v>
      </c>
      <c r="M74" s="7">
        <v>70</v>
      </c>
      <c r="N74" s="7">
        <v>53</v>
      </c>
    </row>
    <row r="75" spans="1:14">
      <c r="A75" s="12" t="s">
        <v>72</v>
      </c>
      <c r="B75" s="7">
        <v>6</v>
      </c>
      <c r="C75" s="12" t="s">
        <v>224</v>
      </c>
      <c r="D75" s="42">
        <v>31</v>
      </c>
      <c r="E75" s="42">
        <v>54</v>
      </c>
      <c r="F75" s="7">
        <v>52</v>
      </c>
      <c r="G75" s="77">
        <v>45</v>
      </c>
      <c r="H75" s="8">
        <v>48</v>
      </c>
      <c r="I75" s="79">
        <v>35</v>
      </c>
      <c r="J75" s="87"/>
      <c r="K75" s="7">
        <v>42</v>
      </c>
      <c r="L75" s="7">
        <v>36</v>
      </c>
      <c r="M75" s="7">
        <v>31</v>
      </c>
      <c r="N75" s="7">
        <v>52</v>
      </c>
    </row>
    <row r="76" spans="1:14">
      <c r="A76" s="12" t="s">
        <v>75</v>
      </c>
      <c r="B76" s="7">
        <v>7</v>
      </c>
      <c r="C76" s="12" t="s">
        <v>12</v>
      </c>
      <c r="D76" s="7">
        <v>48</v>
      </c>
      <c r="E76" s="7">
        <v>72</v>
      </c>
      <c r="F76" s="7">
        <v>44</v>
      </c>
      <c r="G76" s="8">
        <v>96</v>
      </c>
      <c r="H76" s="8">
        <v>102</v>
      </c>
      <c r="I76" s="7">
        <v>48</v>
      </c>
      <c r="J76" s="88"/>
      <c r="K76" s="6">
        <v>127</v>
      </c>
      <c r="L76" s="72">
        <v>115</v>
      </c>
      <c r="M76" s="7">
        <v>100</v>
      </c>
      <c r="N76" s="7">
        <v>101</v>
      </c>
    </row>
    <row r="77" spans="1:14">
      <c r="A77" s="12" t="s">
        <v>78</v>
      </c>
      <c r="B77" s="7">
        <v>8</v>
      </c>
      <c r="C77" s="12" t="s">
        <v>12</v>
      </c>
      <c r="D77" s="7">
        <v>14</v>
      </c>
      <c r="E77" s="71">
        <v>65</v>
      </c>
      <c r="F77" s="7">
        <v>85</v>
      </c>
      <c r="G77" s="8">
        <v>92</v>
      </c>
      <c r="H77" s="8">
        <v>65</v>
      </c>
      <c r="I77" s="80">
        <v>94</v>
      </c>
      <c r="J77" s="89"/>
      <c r="K77" s="7">
        <v>131</v>
      </c>
      <c r="L77" s="7">
        <v>113</v>
      </c>
      <c r="M77" s="7">
        <v>104</v>
      </c>
      <c r="N77" s="7">
        <v>114</v>
      </c>
    </row>
    <row r="78" spans="1:14">
      <c r="A78" s="12" t="s">
        <v>81</v>
      </c>
      <c r="B78" s="7">
        <v>9</v>
      </c>
      <c r="C78" s="12" t="s">
        <v>12</v>
      </c>
      <c r="D78" s="7">
        <v>11</v>
      </c>
      <c r="E78" s="7">
        <v>28</v>
      </c>
      <c r="F78" s="7">
        <v>62</v>
      </c>
      <c r="G78" s="8">
        <v>46</v>
      </c>
      <c r="H78" s="8">
        <v>24</v>
      </c>
      <c r="I78" s="7">
        <v>57</v>
      </c>
      <c r="J78" s="86"/>
      <c r="K78" s="6">
        <v>47</v>
      </c>
      <c r="L78" s="7">
        <v>112</v>
      </c>
      <c r="M78" s="7">
        <v>111</v>
      </c>
      <c r="N78" s="7">
        <v>130</v>
      </c>
    </row>
    <row r="79" spans="1:14">
      <c r="A79" s="12" t="s">
        <v>84</v>
      </c>
      <c r="B79" s="7">
        <v>10</v>
      </c>
      <c r="C79" s="12" t="s">
        <v>12</v>
      </c>
      <c r="D79" s="7">
        <v>14</v>
      </c>
      <c r="E79" s="71">
        <v>57</v>
      </c>
      <c r="F79" s="7">
        <v>46</v>
      </c>
      <c r="G79" s="78">
        <v>76</v>
      </c>
      <c r="H79" s="8">
        <v>111</v>
      </c>
      <c r="I79" s="7">
        <v>127</v>
      </c>
      <c r="J79" s="86"/>
      <c r="K79" s="7">
        <v>147</v>
      </c>
      <c r="L79" s="7">
        <v>173</v>
      </c>
      <c r="M79" s="7">
        <v>238</v>
      </c>
      <c r="N79" s="7">
        <v>211</v>
      </c>
    </row>
    <row r="80" spans="1:14">
      <c r="A80" s="12" t="s">
        <v>86</v>
      </c>
      <c r="B80" s="7">
        <v>11</v>
      </c>
      <c r="C80" s="12" t="s">
        <v>224</v>
      </c>
      <c r="D80" s="7">
        <v>62</v>
      </c>
      <c r="E80" s="69">
        <v>85</v>
      </c>
      <c r="F80" s="7">
        <v>122</v>
      </c>
      <c r="G80" s="7">
        <v>137</v>
      </c>
      <c r="H80" s="7">
        <v>52</v>
      </c>
      <c r="I80" s="81">
        <v>56</v>
      </c>
      <c r="J80" s="88"/>
      <c r="K80" s="7">
        <v>23</v>
      </c>
      <c r="L80" s="7">
        <v>75</v>
      </c>
      <c r="M80" s="7">
        <v>43</v>
      </c>
      <c r="N80" s="7">
        <v>54</v>
      </c>
    </row>
    <row r="81" spans="1:14">
      <c r="A81" s="12" t="s">
        <v>87</v>
      </c>
      <c r="B81" s="7">
        <v>12</v>
      </c>
      <c r="C81" s="12" t="s">
        <v>224</v>
      </c>
      <c r="D81" s="7">
        <v>18</v>
      </c>
      <c r="E81" s="7">
        <v>99</v>
      </c>
      <c r="F81" s="73">
        <v>72</v>
      </c>
      <c r="G81" s="77">
        <v>125</v>
      </c>
      <c r="H81" s="8">
        <v>56</v>
      </c>
      <c r="I81" s="90">
        <v>40</v>
      </c>
      <c r="J81" s="86"/>
      <c r="K81" s="7">
        <v>36</v>
      </c>
      <c r="L81" s="7">
        <v>42</v>
      </c>
      <c r="M81" s="7">
        <v>48</v>
      </c>
      <c r="N81" s="7">
        <v>30</v>
      </c>
    </row>
    <row r="82" spans="1:14">
      <c r="A82" s="12" t="s">
        <v>88</v>
      </c>
      <c r="B82" s="7">
        <v>13</v>
      </c>
      <c r="C82" s="12" t="s">
        <v>12</v>
      </c>
      <c r="D82" s="7">
        <v>0</v>
      </c>
      <c r="E82" s="7">
        <v>70</v>
      </c>
      <c r="F82" s="7">
        <v>65</v>
      </c>
      <c r="G82" s="8">
        <v>77</v>
      </c>
      <c r="H82" s="8">
        <v>120</v>
      </c>
      <c r="I82" s="7">
        <v>191</v>
      </c>
      <c r="J82" s="86"/>
      <c r="K82" s="7">
        <v>254</v>
      </c>
      <c r="L82" s="7">
        <v>213</v>
      </c>
      <c r="M82" s="7">
        <v>300</v>
      </c>
      <c r="N82" s="7">
        <v>265</v>
      </c>
    </row>
    <row r="83" spans="1:14" ht="25.9">
      <c r="A83" s="61" t="s">
        <v>89</v>
      </c>
      <c r="B83" s="7">
        <v>14</v>
      </c>
      <c r="C83" s="12" t="s">
        <v>12</v>
      </c>
      <c r="D83" s="7">
        <v>24</v>
      </c>
      <c r="E83" s="7">
        <v>65</v>
      </c>
      <c r="F83" s="7">
        <v>163</v>
      </c>
      <c r="G83" s="8">
        <v>181</v>
      </c>
      <c r="H83" s="8">
        <v>274</v>
      </c>
      <c r="I83" s="7">
        <v>237</v>
      </c>
      <c r="J83" s="86"/>
      <c r="K83" s="7">
        <v>201</v>
      </c>
      <c r="L83" s="7">
        <v>248</v>
      </c>
      <c r="M83" s="7">
        <v>208</v>
      </c>
      <c r="N83" s="7">
        <v>204</v>
      </c>
    </row>
    <row r="84" spans="1:14">
      <c r="A84" s="12" t="s">
        <v>90</v>
      </c>
      <c r="B84" s="7">
        <v>15</v>
      </c>
      <c r="C84" s="12" t="s">
        <v>12</v>
      </c>
      <c r="D84" s="67">
        <v>61</v>
      </c>
      <c r="E84" s="7">
        <v>127</v>
      </c>
      <c r="F84" s="7">
        <v>155</v>
      </c>
      <c r="G84" s="8">
        <v>120</v>
      </c>
      <c r="H84" s="8">
        <v>119</v>
      </c>
      <c r="I84" s="7">
        <v>133</v>
      </c>
      <c r="J84" s="86"/>
      <c r="K84" s="7">
        <v>196</v>
      </c>
      <c r="L84" s="7">
        <v>310</v>
      </c>
      <c r="M84" s="7">
        <v>164</v>
      </c>
      <c r="N84" s="7">
        <v>196</v>
      </c>
    </row>
    <row r="85" spans="1:14">
      <c r="A85" s="12" t="s">
        <v>91</v>
      </c>
      <c r="B85" s="7">
        <v>16</v>
      </c>
      <c r="C85" s="12" t="s">
        <v>12</v>
      </c>
      <c r="D85" s="7">
        <v>20</v>
      </c>
      <c r="E85" s="7">
        <v>50</v>
      </c>
      <c r="F85" s="7">
        <v>90</v>
      </c>
      <c r="G85" s="8">
        <v>65</v>
      </c>
      <c r="H85" s="8">
        <v>60</v>
      </c>
      <c r="I85" s="7">
        <v>85</v>
      </c>
      <c r="J85" s="86"/>
      <c r="K85" s="7">
        <v>71</v>
      </c>
      <c r="L85" s="7">
        <v>74</v>
      </c>
      <c r="M85" s="7">
        <v>88</v>
      </c>
      <c r="N85" s="7">
        <v>80</v>
      </c>
    </row>
    <row r="88" spans="1:14">
      <c r="A88" s="10"/>
      <c r="B88" s="10"/>
      <c r="C88" s="10" t="s">
        <v>208</v>
      </c>
      <c r="D88" s="13" t="s">
        <v>225</v>
      </c>
      <c r="E88" s="13" t="s">
        <v>225</v>
      </c>
      <c r="F88" s="13" t="s">
        <v>225</v>
      </c>
      <c r="G88" s="13" t="s">
        <v>225</v>
      </c>
      <c r="H88" s="13" t="s">
        <v>225</v>
      </c>
      <c r="I88" s="13" t="s">
        <v>225</v>
      </c>
      <c r="J88" s="13" t="s">
        <v>225</v>
      </c>
      <c r="K88" s="13" t="s">
        <v>225</v>
      </c>
      <c r="L88" s="13" t="s">
        <v>225</v>
      </c>
      <c r="M88" s="13" t="s">
        <v>225</v>
      </c>
      <c r="N88" s="13" t="s">
        <v>225</v>
      </c>
    </row>
    <row r="89" spans="1:14">
      <c r="A89" s="5" t="s">
        <v>229</v>
      </c>
      <c r="B89" s="10"/>
      <c r="C89" s="10"/>
      <c r="D89" s="5" t="s">
        <v>211</v>
      </c>
      <c r="E89" s="5" t="s">
        <v>212</v>
      </c>
      <c r="F89" s="5" t="s">
        <v>213</v>
      </c>
      <c r="G89" s="5" t="s">
        <v>214</v>
      </c>
      <c r="H89" s="5" t="s">
        <v>215</v>
      </c>
      <c r="I89" s="5" t="s">
        <v>217</v>
      </c>
      <c r="J89" s="5" t="s">
        <v>216</v>
      </c>
      <c r="K89" s="5" t="s">
        <v>218</v>
      </c>
      <c r="L89" s="5" t="s">
        <v>219</v>
      </c>
      <c r="M89" s="5" t="s">
        <v>220</v>
      </c>
      <c r="N89" s="5" t="s">
        <v>221</v>
      </c>
    </row>
    <row r="90" spans="1:14">
      <c r="A90" s="10" t="s">
        <v>222</v>
      </c>
      <c r="B90" s="10" t="s">
        <v>223</v>
      </c>
      <c r="C90" s="10" t="s">
        <v>8</v>
      </c>
      <c r="D90" s="2">
        <v>44262</v>
      </c>
      <c r="E90" s="2">
        <v>44263</v>
      </c>
      <c r="F90" s="2">
        <v>44264</v>
      </c>
      <c r="G90" s="2">
        <v>44265</v>
      </c>
      <c r="H90" s="2">
        <v>44266</v>
      </c>
      <c r="I90" s="2">
        <v>44267</v>
      </c>
      <c r="J90" s="2">
        <v>44268</v>
      </c>
      <c r="K90" s="2">
        <v>44269</v>
      </c>
      <c r="L90" s="2">
        <v>44270</v>
      </c>
      <c r="M90" s="2">
        <v>44271</v>
      </c>
      <c r="N90" s="2">
        <v>44272</v>
      </c>
    </row>
    <row r="91" spans="1:14">
      <c r="A91" s="12" t="s">
        <v>57</v>
      </c>
      <c r="B91" s="7">
        <v>1</v>
      </c>
      <c r="C91" s="12" t="s">
        <v>12</v>
      </c>
      <c r="D91" s="40">
        <v>31</v>
      </c>
      <c r="E91" s="7">
        <v>5</v>
      </c>
      <c r="F91" s="7">
        <v>6</v>
      </c>
      <c r="G91" s="8">
        <v>21</v>
      </c>
      <c r="H91" s="41">
        <v>6</v>
      </c>
      <c r="I91" s="90">
        <v>10</v>
      </c>
      <c r="J91" s="86"/>
      <c r="K91" s="7">
        <v>15</v>
      </c>
      <c r="L91" s="7">
        <v>7</v>
      </c>
      <c r="M91" s="7">
        <v>37</v>
      </c>
      <c r="N91" s="40">
        <v>17</v>
      </c>
    </row>
    <row r="92" spans="1:14">
      <c r="A92" s="12" t="s">
        <v>60</v>
      </c>
      <c r="B92" s="7">
        <v>2</v>
      </c>
      <c r="C92" s="12" t="s">
        <v>12</v>
      </c>
      <c r="D92" s="40">
        <v>15</v>
      </c>
      <c r="E92" s="7">
        <v>26</v>
      </c>
      <c r="F92" s="7">
        <v>13</v>
      </c>
      <c r="G92" s="8">
        <v>4</v>
      </c>
      <c r="H92" s="41">
        <v>17</v>
      </c>
      <c r="I92" s="7">
        <v>35</v>
      </c>
      <c r="J92" s="86"/>
      <c r="K92" s="7">
        <v>38</v>
      </c>
      <c r="L92" s="7">
        <v>21</v>
      </c>
      <c r="M92" s="7">
        <v>94</v>
      </c>
      <c r="N92" s="40">
        <v>18</v>
      </c>
    </row>
    <row r="93" spans="1:14">
      <c r="A93" s="12" t="s">
        <v>63</v>
      </c>
      <c r="B93" s="7">
        <v>3</v>
      </c>
      <c r="C93" s="12" t="s">
        <v>12</v>
      </c>
      <c r="D93" s="40">
        <v>10</v>
      </c>
      <c r="E93" s="7">
        <v>14</v>
      </c>
      <c r="F93" s="7">
        <v>17</v>
      </c>
      <c r="G93" s="8">
        <v>9</v>
      </c>
      <c r="H93" s="41">
        <v>11</v>
      </c>
      <c r="I93" s="7">
        <v>18</v>
      </c>
      <c r="J93" s="86"/>
      <c r="K93" s="7">
        <v>14</v>
      </c>
      <c r="L93" s="7">
        <v>17</v>
      </c>
      <c r="M93" s="7">
        <v>23</v>
      </c>
      <c r="N93" s="40">
        <v>39</v>
      </c>
    </row>
    <row r="94" spans="1:14">
      <c r="A94" s="12" t="s">
        <v>66</v>
      </c>
      <c r="B94" s="7">
        <v>4</v>
      </c>
      <c r="C94" s="12" t="s">
        <v>12</v>
      </c>
      <c r="D94" s="40">
        <v>16</v>
      </c>
      <c r="E94" s="7">
        <v>1</v>
      </c>
      <c r="F94" s="7">
        <v>21</v>
      </c>
      <c r="G94" s="8">
        <v>6</v>
      </c>
      <c r="H94" s="41">
        <v>23</v>
      </c>
      <c r="I94" s="7">
        <v>33</v>
      </c>
      <c r="J94" s="86"/>
      <c r="K94" s="7">
        <v>23</v>
      </c>
      <c r="L94" s="7">
        <v>7</v>
      </c>
      <c r="M94" s="7">
        <v>12</v>
      </c>
      <c r="N94" s="40">
        <v>1</v>
      </c>
    </row>
    <row r="95" spans="1:14">
      <c r="A95" s="12" t="s">
        <v>69</v>
      </c>
      <c r="B95" s="7">
        <v>5</v>
      </c>
      <c r="C95" s="12" t="s">
        <v>224</v>
      </c>
      <c r="D95" s="7">
        <v>23</v>
      </c>
      <c r="E95" s="7">
        <v>4</v>
      </c>
      <c r="F95" s="7">
        <v>26</v>
      </c>
      <c r="G95" s="8">
        <v>4</v>
      </c>
      <c r="H95" s="8">
        <v>5</v>
      </c>
      <c r="I95" s="7">
        <v>0</v>
      </c>
      <c r="J95" s="86"/>
      <c r="K95" s="7">
        <v>0</v>
      </c>
      <c r="L95" s="7">
        <v>7</v>
      </c>
      <c r="M95" s="7">
        <v>4</v>
      </c>
      <c r="N95" s="7">
        <v>8</v>
      </c>
    </row>
    <row r="96" spans="1:14">
      <c r="A96" s="12" t="s">
        <v>72</v>
      </c>
      <c r="B96" s="7">
        <v>6</v>
      </c>
      <c r="C96" s="12" t="s">
        <v>224</v>
      </c>
      <c r="D96" s="42">
        <v>6</v>
      </c>
      <c r="E96" s="7">
        <v>20</v>
      </c>
      <c r="F96" s="7">
        <v>20</v>
      </c>
      <c r="G96" s="77">
        <v>3</v>
      </c>
      <c r="H96" s="8">
        <v>24</v>
      </c>
      <c r="I96" s="79">
        <v>9</v>
      </c>
      <c r="J96" s="87"/>
      <c r="K96" s="7">
        <v>17</v>
      </c>
      <c r="L96" s="7">
        <v>12</v>
      </c>
      <c r="M96" s="7">
        <v>9</v>
      </c>
      <c r="N96" s="7">
        <v>4</v>
      </c>
    </row>
    <row r="97" spans="1:14">
      <c r="A97" s="12" t="s">
        <v>75</v>
      </c>
      <c r="B97" s="7">
        <v>7</v>
      </c>
      <c r="C97" s="12" t="s">
        <v>12</v>
      </c>
      <c r="D97" s="7">
        <v>1</v>
      </c>
      <c r="E97" s="7">
        <v>30</v>
      </c>
      <c r="F97" s="7">
        <v>6</v>
      </c>
      <c r="G97" s="8">
        <v>14</v>
      </c>
      <c r="H97" s="8">
        <v>3</v>
      </c>
      <c r="I97" s="7">
        <v>18</v>
      </c>
      <c r="J97" s="88"/>
      <c r="K97" s="6">
        <v>4</v>
      </c>
      <c r="L97" s="72">
        <v>14</v>
      </c>
      <c r="M97" s="7">
        <v>12</v>
      </c>
      <c r="N97" s="7">
        <v>5</v>
      </c>
    </row>
    <row r="98" spans="1:14">
      <c r="A98" s="12" t="s">
        <v>78</v>
      </c>
      <c r="B98" s="7">
        <v>8</v>
      </c>
      <c r="C98" s="12" t="s">
        <v>12</v>
      </c>
      <c r="D98" s="7">
        <v>24</v>
      </c>
      <c r="E98" s="7">
        <v>14</v>
      </c>
      <c r="F98" s="7">
        <v>3</v>
      </c>
      <c r="G98" s="8">
        <v>3</v>
      </c>
      <c r="H98" s="8">
        <v>14</v>
      </c>
      <c r="I98" s="80">
        <v>11</v>
      </c>
      <c r="J98" s="89"/>
      <c r="K98" s="7">
        <v>3</v>
      </c>
      <c r="L98" s="7">
        <v>13</v>
      </c>
      <c r="M98" s="7">
        <v>27</v>
      </c>
      <c r="N98" s="7">
        <v>23</v>
      </c>
    </row>
    <row r="99" spans="1:14">
      <c r="A99" s="12" t="s">
        <v>81</v>
      </c>
      <c r="B99" s="7">
        <v>9</v>
      </c>
      <c r="C99" s="12" t="s">
        <v>12</v>
      </c>
      <c r="D99" s="7">
        <v>15</v>
      </c>
      <c r="E99" s="7">
        <v>42</v>
      </c>
      <c r="F99" s="7">
        <v>9</v>
      </c>
      <c r="G99" s="8">
        <v>9</v>
      </c>
      <c r="H99" s="8">
        <v>40</v>
      </c>
      <c r="I99" s="7">
        <v>45</v>
      </c>
      <c r="J99" s="86"/>
      <c r="K99" s="6">
        <v>29</v>
      </c>
      <c r="L99" s="7">
        <v>10</v>
      </c>
      <c r="M99" s="7">
        <v>9</v>
      </c>
      <c r="N99" s="7">
        <v>4</v>
      </c>
    </row>
    <row r="100" spans="1:14">
      <c r="A100" s="12" t="s">
        <v>84</v>
      </c>
      <c r="B100" s="7">
        <v>10</v>
      </c>
      <c r="C100" s="12" t="s">
        <v>12</v>
      </c>
      <c r="D100" s="7">
        <v>5</v>
      </c>
      <c r="E100" s="7">
        <v>21</v>
      </c>
      <c r="F100" s="7">
        <v>14</v>
      </c>
      <c r="G100" s="78">
        <v>11</v>
      </c>
      <c r="H100" s="8">
        <v>10</v>
      </c>
      <c r="I100" s="7">
        <v>9</v>
      </c>
      <c r="J100" s="86"/>
      <c r="K100" s="7">
        <v>26</v>
      </c>
      <c r="L100" s="7">
        <v>20</v>
      </c>
      <c r="M100" s="7">
        <v>11</v>
      </c>
      <c r="N100" s="7">
        <v>2</v>
      </c>
    </row>
    <row r="101" spans="1:14">
      <c r="A101" s="12" t="s">
        <v>86</v>
      </c>
      <c r="B101" s="7">
        <v>11</v>
      </c>
      <c r="C101" s="12" t="s">
        <v>224</v>
      </c>
      <c r="D101" s="7">
        <v>36</v>
      </c>
      <c r="E101" s="7">
        <v>74</v>
      </c>
      <c r="F101" s="7">
        <v>136</v>
      </c>
      <c r="G101" s="7">
        <v>36</v>
      </c>
      <c r="H101" s="7">
        <v>46</v>
      </c>
      <c r="I101" s="81">
        <v>66</v>
      </c>
      <c r="J101" s="88"/>
      <c r="K101" s="7">
        <v>7</v>
      </c>
      <c r="L101" s="7">
        <v>67</v>
      </c>
      <c r="M101" s="7">
        <v>19</v>
      </c>
      <c r="N101" s="7">
        <v>70</v>
      </c>
    </row>
    <row r="102" spans="1:14">
      <c r="A102" s="12" t="s">
        <v>87</v>
      </c>
      <c r="B102" s="7">
        <v>12</v>
      </c>
      <c r="C102" s="12" t="s">
        <v>224</v>
      </c>
      <c r="D102" s="7">
        <v>22</v>
      </c>
      <c r="E102" s="7">
        <v>34</v>
      </c>
      <c r="F102" s="73">
        <v>49</v>
      </c>
      <c r="G102" s="8">
        <v>48</v>
      </c>
      <c r="H102" s="8">
        <v>31</v>
      </c>
      <c r="I102" s="90">
        <v>4</v>
      </c>
      <c r="J102" s="86"/>
      <c r="K102" s="7">
        <v>28</v>
      </c>
      <c r="L102" s="7">
        <v>28</v>
      </c>
      <c r="M102" s="7">
        <v>31</v>
      </c>
      <c r="N102" s="7">
        <v>18</v>
      </c>
    </row>
    <row r="103" spans="1:14">
      <c r="A103" s="12" t="s">
        <v>88</v>
      </c>
      <c r="B103" s="7">
        <v>13</v>
      </c>
      <c r="C103" s="12" t="s">
        <v>12</v>
      </c>
      <c r="D103" s="7">
        <v>0</v>
      </c>
      <c r="E103" s="7">
        <v>6</v>
      </c>
      <c r="F103" s="7">
        <v>3</v>
      </c>
      <c r="G103" s="8">
        <v>0</v>
      </c>
      <c r="H103" s="8">
        <v>3</v>
      </c>
      <c r="I103" s="7">
        <v>20</v>
      </c>
      <c r="J103" s="86"/>
      <c r="K103" s="7">
        <v>20</v>
      </c>
      <c r="L103" s="7">
        <v>7</v>
      </c>
      <c r="M103" s="7">
        <v>32</v>
      </c>
      <c r="N103" s="7">
        <v>18</v>
      </c>
    </row>
    <row r="104" spans="1:14" ht="25.9">
      <c r="A104" s="61" t="s">
        <v>89</v>
      </c>
      <c r="B104" s="7">
        <v>14</v>
      </c>
      <c r="C104" s="12" t="s">
        <v>12</v>
      </c>
      <c r="D104" s="7">
        <v>7</v>
      </c>
      <c r="E104" s="7">
        <v>16</v>
      </c>
      <c r="F104" s="7">
        <v>53</v>
      </c>
      <c r="G104" s="8">
        <v>14</v>
      </c>
      <c r="H104" s="8">
        <v>47</v>
      </c>
      <c r="I104" s="7">
        <v>40</v>
      </c>
      <c r="J104" s="86"/>
      <c r="K104" s="7">
        <v>16</v>
      </c>
      <c r="L104" s="7">
        <v>24</v>
      </c>
      <c r="M104" s="7">
        <v>35</v>
      </c>
      <c r="N104" s="7">
        <v>25</v>
      </c>
    </row>
    <row r="105" spans="1:14">
      <c r="A105" s="12" t="s">
        <v>90</v>
      </c>
      <c r="B105" s="7">
        <v>15</v>
      </c>
      <c r="C105" s="12" t="s">
        <v>12</v>
      </c>
      <c r="D105" s="67">
        <v>21</v>
      </c>
      <c r="E105" s="7">
        <v>18</v>
      </c>
      <c r="F105" s="7">
        <v>13</v>
      </c>
      <c r="G105" s="8">
        <v>29</v>
      </c>
      <c r="H105" s="8">
        <v>38</v>
      </c>
      <c r="I105" s="7">
        <v>18</v>
      </c>
      <c r="J105" s="86"/>
      <c r="K105" s="7">
        <v>58</v>
      </c>
      <c r="L105" s="7">
        <v>310</v>
      </c>
      <c r="M105" s="7">
        <v>249</v>
      </c>
      <c r="N105" s="7">
        <v>142</v>
      </c>
    </row>
    <row r="106" spans="1:14">
      <c r="A106" s="12" t="s">
        <v>91</v>
      </c>
      <c r="B106" s="7">
        <v>16</v>
      </c>
      <c r="C106" s="12" t="s">
        <v>12</v>
      </c>
      <c r="D106" s="7">
        <v>5</v>
      </c>
      <c r="E106" s="7">
        <v>1</v>
      </c>
      <c r="F106" s="7">
        <v>0</v>
      </c>
      <c r="G106" s="8">
        <v>0</v>
      </c>
      <c r="H106" s="8">
        <v>0</v>
      </c>
      <c r="I106" s="7">
        <v>1</v>
      </c>
      <c r="J106" s="86"/>
      <c r="K106" s="7">
        <v>1</v>
      </c>
      <c r="L106" s="7">
        <v>1</v>
      </c>
      <c r="M106" s="7">
        <v>3</v>
      </c>
      <c r="N106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Z47"/>
  <sheetViews>
    <sheetView topLeftCell="A17" zoomScale="80" zoomScaleNormal="80" workbookViewId="0">
      <selection activeCell="D38" sqref="D38:M38"/>
    </sheetView>
  </sheetViews>
  <sheetFormatPr defaultRowHeight="14.45"/>
  <cols>
    <col min="1" max="1" width="32.140625" bestFit="1" customWidth="1"/>
    <col min="2" max="2" width="8.5703125" bestFit="1" customWidth="1"/>
    <col min="4" max="6" width="8.42578125" bestFit="1" customWidth="1"/>
    <col min="7" max="12" width="9.42578125" bestFit="1" customWidth="1"/>
    <col min="13" max="13" width="9.7109375" bestFit="1" customWidth="1"/>
    <col min="14" max="14" width="12.42578125" bestFit="1" customWidth="1"/>
    <col min="16" max="16" width="29.5703125" bestFit="1" customWidth="1"/>
    <col min="24" max="24" width="8.42578125" bestFit="1" customWidth="1"/>
    <col min="25" max="31" width="9.42578125" bestFit="1" customWidth="1"/>
    <col min="32" max="32" width="12.42578125" bestFit="1" customWidth="1"/>
    <col min="34" max="34" width="19.7109375" bestFit="1" customWidth="1"/>
    <col min="42" max="42" width="8.42578125" bestFit="1" customWidth="1"/>
    <col min="43" max="49" width="9.42578125" bestFit="1" customWidth="1"/>
    <col min="50" max="50" width="12.42578125" bestFit="1" customWidth="1"/>
  </cols>
  <sheetData>
    <row r="2" spans="1:22">
      <c r="A2" t="s">
        <v>9</v>
      </c>
      <c r="S2" t="s">
        <v>9</v>
      </c>
    </row>
    <row r="3" spans="1:22">
      <c r="A3" t="s">
        <v>58</v>
      </c>
      <c r="B3" t="s">
        <v>59</v>
      </c>
      <c r="S3" t="s">
        <v>58</v>
      </c>
      <c r="T3" t="s">
        <v>59</v>
      </c>
      <c r="U3" t="s">
        <v>248</v>
      </c>
    </row>
    <row r="4" spans="1:22">
      <c r="A4" t="s">
        <v>61</v>
      </c>
      <c r="B4" t="s">
        <v>62</v>
      </c>
      <c r="S4" t="s">
        <v>61</v>
      </c>
      <c r="T4" t="s">
        <v>62</v>
      </c>
      <c r="U4" t="s">
        <v>249</v>
      </c>
      <c r="V4" t="s">
        <v>250</v>
      </c>
    </row>
    <row r="5" spans="1:22">
      <c r="A5" t="s">
        <v>64</v>
      </c>
      <c r="B5" t="s">
        <v>65</v>
      </c>
      <c r="S5" t="s">
        <v>64</v>
      </c>
      <c r="T5" t="s">
        <v>65</v>
      </c>
      <c r="U5" t="s">
        <v>251</v>
      </c>
    </row>
    <row r="6" spans="1:22">
      <c r="A6" t="s">
        <v>67</v>
      </c>
      <c r="B6" t="s">
        <v>68</v>
      </c>
      <c r="S6" t="s">
        <v>67</v>
      </c>
      <c r="T6" t="s">
        <v>68</v>
      </c>
      <c r="U6" t="s">
        <v>250</v>
      </c>
    </row>
    <row r="7" spans="1:22">
      <c r="A7" t="s">
        <v>70</v>
      </c>
      <c r="B7" t="s">
        <v>71</v>
      </c>
      <c r="S7" t="s">
        <v>70</v>
      </c>
      <c r="T7" t="s">
        <v>71</v>
      </c>
      <c r="U7" t="s">
        <v>248</v>
      </c>
    </row>
    <row r="8" spans="1:22">
      <c r="A8" t="s">
        <v>73</v>
      </c>
      <c r="B8" t="s">
        <v>74</v>
      </c>
      <c r="S8" t="s">
        <v>73</v>
      </c>
      <c r="T8" t="s">
        <v>74</v>
      </c>
      <c r="U8" t="s">
        <v>251</v>
      </c>
    </row>
    <row r="9" spans="1:22">
      <c r="A9" t="s">
        <v>76</v>
      </c>
      <c r="B9" t="s">
        <v>77</v>
      </c>
      <c r="S9" t="s">
        <v>76</v>
      </c>
      <c r="T9" t="s">
        <v>77</v>
      </c>
      <c r="U9" t="s">
        <v>248</v>
      </c>
    </row>
    <row r="10" spans="1:22">
      <c r="A10" t="s">
        <v>79</v>
      </c>
      <c r="B10" t="s">
        <v>80</v>
      </c>
      <c r="S10" t="s">
        <v>79</v>
      </c>
      <c r="T10" t="s">
        <v>80</v>
      </c>
      <c r="U10" t="s">
        <v>249</v>
      </c>
      <c r="V10" t="s">
        <v>250</v>
      </c>
    </row>
    <row r="12" spans="1:22">
      <c r="A12" s="64" t="s">
        <v>240</v>
      </c>
      <c r="C12" s="76" t="s">
        <v>241</v>
      </c>
    </row>
    <row r="13" spans="1:22">
      <c r="A13" s="65" t="s">
        <v>242</v>
      </c>
    </row>
    <row r="14" spans="1:22">
      <c r="A14" s="66" t="s">
        <v>243</v>
      </c>
    </row>
    <row r="15" spans="1:22">
      <c r="A15" s="68" t="s">
        <v>244</v>
      </c>
    </row>
    <row r="16" spans="1:22">
      <c r="A16" s="70" t="s">
        <v>245</v>
      </c>
    </row>
    <row r="17" spans="1:52">
      <c r="A17" s="72" t="s">
        <v>246</v>
      </c>
    </row>
    <row r="18" spans="1:52">
      <c r="A18" s="75" t="s">
        <v>247</v>
      </c>
    </row>
    <row r="22" spans="1:52">
      <c r="A22" s="5" t="s">
        <v>226</v>
      </c>
      <c r="B22" s="10"/>
      <c r="C22" s="10"/>
      <c r="D22" s="5" t="s">
        <v>211</v>
      </c>
      <c r="E22" s="5" t="s">
        <v>212</v>
      </c>
      <c r="F22" s="5" t="s">
        <v>213</v>
      </c>
      <c r="G22" s="5" t="s">
        <v>214</v>
      </c>
      <c r="H22" s="5" t="s">
        <v>215</v>
      </c>
      <c r="I22" s="5" t="s">
        <v>217</v>
      </c>
      <c r="J22" s="5" t="s">
        <v>218</v>
      </c>
      <c r="K22" s="5" t="s">
        <v>219</v>
      </c>
      <c r="L22" s="5" t="s">
        <v>220</v>
      </c>
      <c r="M22" s="5" t="s">
        <v>221</v>
      </c>
      <c r="S22" s="5" t="s">
        <v>228</v>
      </c>
      <c r="T22" s="10"/>
      <c r="U22" s="10"/>
      <c r="V22" s="5" t="s">
        <v>211</v>
      </c>
      <c r="W22" s="5" t="s">
        <v>212</v>
      </c>
      <c r="X22" s="5" t="s">
        <v>213</v>
      </c>
      <c r="Y22" s="5" t="s">
        <v>214</v>
      </c>
      <c r="Z22" s="5" t="s">
        <v>215</v>
      </c>
      <c r="AA22" s="5" t="s">
        <v>217</v>
      </c>
      <c r="AB22" s="5" t="s">
        <v>218</v>
      </c>
      <c r="AC22" s="5" t="s">
        <v>219</v>
      </c>
      <c r="AD22" s="5" t="s">
        <v>220</v>
      </c>
      <c r="AE22" s="5" t="s">
        <v>221</v>
      </c>
      <c r="AK22" s="5" t="s">
        <v>229</v>
      </c>
      <c r="AL22" s="10"/>
      <c r="AM22" s="10"/>
      <c r="AN22" s="5" t="s">
        <v>211</v>
      </c>
      <c r="AO22" s="5" t="s">
        <v>212</v>
      </c>
      <c r="AP22" s="5" t="s">
        <v>213</v>
      </c>
      <c r="AQ22" s="5" t="s">
        <v>214</v>
      </c>
      <c r="AR22" s="5" t="s">
        <v>215</v>
      </c>
      <c r="AS22" s="5" t="s">
        <v>217</v>
      </c>
      <c r="AT22" s="5" t="s">
        <v>218</v>
      </c>
      <c r="AU22" s="5" t="s">
        <v>219</v>
      </c>
      <c r="AV22" s="5" t="s">
        <v>220</v>
      </c>
      <c r="AW22" s="5" t="s">
        <v>221</v>
      </c>
    </row>
    <row r="23" spans="1:52">
      <c r="A23" s="10" t="s">
        <v>222</v>
      </c>
      <c r="B23" s="10" t="s">
        <v>223</v>
      </c>
      <c r="C23" s="10" t="s">
        <v>8</v>
      </c>
      <c r="D23" s="2">
        <v>44262</v>
      </c>
      <c r="E23" s="2">
        <v>44263</v>
      </c>
      <c r="F23" s="2">
        <v>44264</v>
      </c>
      <c r="G23" s="2">
        <v>44265</v>
      </c>
      <c r="H23" s="2">
        <v>44266</v>
      </c>
      <c r="I23" s="2">
        <v>44267</v>
      </c>
      <c r="J23" s="2">
        <v>44269</v>
      </c>
      <c r="K23" s="2">
        <v>44270</v>
      </c>
      <c r="L23" s="2">
        <v>44271</v>
      </c>
      <c r="M23" s="2">
        <v>44272</v>
      </c>
      <c r="N23" s="48" t="s">
        <v>230</v>
      </c>
      <c r="O23" s="48" t="s">
        <v>231</v>
      </c>
      <c r="P23" s="48" t="s">
        <v>232</v>
      </c>
      <c r="S23" s="10" t="s">
        <v>222</v>
      </c>
      <c r="T23" s="10" t="s">
        <v>223</v>
      </c>
      <c r="U23" s="10" t="s">
        <v>8</v>
      </c>
      <c r="V23" s="2">
        <v>44262</v>
      </c>
      <c r="W23" s="2">
        <v>44263</v>
      </c>
      <c r="X23" s="2">
        <v>44264</v>
      </c>
      <c r="Y23" s="2">
        <v>44265</v>
      </c>
      <c r="Z23" s="2">
        <v>44266</v>
      </c>
      <c r="AA23" s="2">
        <v>44267</v>
      </c>
      <c r="AB23" s="2">
        <v>44269</v>
      </c>
      <c r="AC23" s="2">
        <v>44270</v>
      </c>
      <c r="AD23" s="2">
        <v>44271</v>
      </c>
      <c r="AE23" s="2">
        <v>44272</v>
      </c>
      <c r="AF23" s="48" t="s">
        <v>230</v>
      </c>
      <c r="AG23" s="48" t="s">
        <v>231</v>
      </c>
      <c r="AH23" s="48" t="s">
        <v>232</v>
      </c>
      <c r="AK23" s="10" t="s">
        <v>222</v>
      </c>
      <c r="AL23" s="10" t="s">
        <v>223</v>
      </c>
      <c r="AM23" s="10" t="s">
        <v>8</v>
      </c>
      <c r="AN23" s="2">
        <v>44262</v>
      </c>
      <c r="AO23" s="2">
        <v>44263</v>
      </c>
      <c r="AP23" s="2">
        <v>44264</v>
      </c>
      <c r="AQ23" s="2">
        <v>44265</v>
      </c>
      <c r="AR23" s="2">
        <v>44266</v>
      </c>
      <c r="AS23" s="2">
        <v>44267</v>
      </c>
      <c r="AT23" s="2">
        <v>44269</v>
      </c>
      <c r="AU23" s="2">
        <v>44270</v>
      </c>
      <c r="AV23" s="2">
        <v>44271</v>
      </c>
      <c r="AW23" s="2">
        <v>44272</v>
      </c>
      <c r="AX23" s="48" t="s">
        <v>230</v>
      </c>
      <c r="AY23" s="48" t="s">
        <v>231</v>
      </c>
      <c r="AZ23" s="48" t="s">
        <v>232</v>
      </c>
    </row>
    <row r="24" spans="1:52">
      <c r="A24" s="12" t="s">
        <v>57</v>
      </c>
      <c r="B24" s="7">
        <v>1</v>
      </c>
      <c r="C24" s="12" t="s">
        <v>12</v>
      </c>
      <c r="D24" s="40">
        <v>7</v>
      </c>
      <c r="E24" s="7">
        <v>29</v>
      </c>
      <c r="F24" s="7">
        <v>29</v>
      </c>
      <c r="G24" s="8">
        <v>27</v>
      </c>
      <c r="H24" s="41">
        <v>41</v>
      </c>
      <c r="I24" s="90">
        <v>23</v>
      </c>
      <c r="J24" s="7">
        <v>27</v>
      </c>
      <c r="K24" s="7">
        <v>26</v>
      </c>
      <c r="L24" s="7">
        <v>61</v>
      </c>
      <c r="M24" s="40">
        <v>30</v>
      </c>
      <c r="N24">
        <f t="shared" ref="N24:N29" si="0">AVERAGE(K24:M24)</f>
        <v>39</v>
      </c>
      <c r="O24">
        <f t="shared" ref="O24:O29" si="1">AVERAGE(D24:M24)</f>
        <v>30</v>
      </c>
      <c r="P24">
        <v>1</v>
      </c>
      <c r="S24" s="12" t="s">
        <v>57</v>
      </c>
      <c r="T24" s="7">
        <v>1</v>
      </c>
      <c r="U24" s="12" t="s">
        <v>12</v>
      </c>
      <c r="V24" s="40">
        <v>22</v>
      </c>
      <c r="W24" s="7">
        <v>86</v>
      </c>
      <c r="X24" s="7">
        <v>41</v>
      </c>
      <c r="Y24" s="8">
        <v>46</v>
      </c>
      <c r="Z24" s="41">
        <v>93</v>
      </c>
      <c r="AA24" s="90">
        <v>53</v>
      </c>
      <c r="AB24" s="7">
        <v>49</v>
      </c>
      <c r="AC24" s="7">
        <v>49</v>
      </c>
      <c r="AD24" s="7">
        <v>164</v>
      </c>
      <c r="AE24" s="40">
        <v>62</v>
      </c>
      <c r="AF24">
        <f t="shared" ref="AF24:AF29" si="2">AVERAGE(AC24:AE24)</f>
        <v>91.666666666666671</v>
      </c>
      <c r="AG24">
        <f t="shared" ref="AG24:AG29" si="3">AVERAGE(V24:AE24)</f>
        <v>66.5</v>
      </c>
      <c r="AH24">
        <v>1</v>
      </c>
      <c r="AK24" s="12" t="s">
        <v>57</v>
      </c>
      <c r="AL24" s="7">
        <v>1</v>
      </c>
      <c r="AM24" s="12" t="s">
        <v>12</v>
      </c>
      <c r="AN24" s="40">
        <v>31</v>
      </c>
      <c r="AO24" s="7">
        <v>5</v>
      </c>
      <c r="AP24" s="7">
        <v>6</v>
      </c>
      <c r="AQ24" s="8">
        <v>21</v>
      </c>
      <c r="AR24" s="41">
        <v>6</v>
      </c>
      <c r="AS24" s="90">
        <v>10</v>
      </c>
      <c r="AT24" s="7">
        <v>15</v>
      </c>
      <c r="AU24" s="7">
        <v>7</v>
      </c>
      <c r="AV24" s="7">
        <v>37</v>
      </c>
      <c r="AW24" s="40">
        <v>17</v>
      </c>
      <c r="AX24">
        <f t="shared" ref="AX24:AX29" si="4">AVERAGE(AU24:AW24)</f>
        <v>20.333333333333332</v>
      </c>
      <c r="AY24">
        <f t="shared" ref="AY24:AY29" si="5">AVERAGE(AN24:AW24)</f>
        <v>15.5</v>
      </c>
      <c r="AZ24">
        <v>1</v>
      </c>
    </row>
    <row r="25" spans="1:52">
      <c r="A25" s="12" t="s">
        <v>60</v>
      </c>
      <c r="B25" s="7">
        <v>2</v>
      </c>
      <c r="C25" s="12" t="s">
        <v>12</v>
      </c>
      <c r="D25" s="40">
        <v>13</v>
      </c>
      <c r="E25" s="7">
        <v>26</v>
      </c>
      <c r="F25" s="7">
        <v>30</v>
      </c>
      <c r="G25" s="8">
        <v>48</v>
      </c>
      <c r="H25" s="41">
        <v>47</v>
      </c>
      <c r="I25" s="7">
        <v>71</v>
      </c>
      <c r="J25" s="7">
        <v>74</v>
      </c>
      <c r="K25" s="7">
        <v>75</v>
      </c>
      <c r="L25" s="7">
        <v>75</v>
      </c>
      <c r="M25" s="40">
        <v>75</v>
      </c>
      <c r="N25">
        <f t="shared" si="0"/>
        <v>75</v>
      </c>
      <c r="O25">
        <f t="shared" si="1"/>
        <v>53.4</v>
      </c>
      <c r="P25">
        <v>1</v>
      </c>
      <c r="S25" s="12" t="s">
        <v>60</v>
      </c>
      <c r="T25" s="7">
        <v>2</v>
      </c>
      <c r="U25" s="12" t="s">
        <v>12</v>
      </c>
      <c r="V25" s="40">
        <v>13</v>
      </c>
      <c r="W25" s="7">
        <v>28</v>
      </c>
      <c r="X25" s="7">
        <v>57</v>
      </c>
      <c r="Y25" s="8">
        <v>105</v>
      </c>
      <c r="Z25" s="41">
        <v>82</v>
      </c>
      <c r="AA25" s="7">
        <v>109</v>
      </c>
      <c r="AB25" s="7">
        <v>111</v>
      </c>
      <c r="AC25" s="7">
        <v>110</v>
      </c>
      <c r="AD25" s="7">
        <v>115</v>
      </c>
      <c r="AE25" s="40">
        <v>102</v>
      </c>
      <c r="AF25">
        <f t="shared" si="2"/>
        <v>109</v>
      </c>
      <c r="AG25">
        <f t="shared" si="3"/>
        <v>83.2</v>
      </c>
      <c r="AH25">
        <v>1</v>
      </c>
      <c r="AK25" s="12" t="s">
        <v>60</v>
      </c>
      <c r="AL25" s="7">
        <v>2</v>
      </c>
      <c r="AM25" s="12" t="s">
        <v>12</v>
      </c>
      <c r="AN25" s="40">
        <v>15</v>
      </c>
      <c r="AO25" s="7">
        <v>26</v>
      </c>
      <c r="AP25" s="7">
        <v>13</v>
      </c>
      <c r="AQ25" s="8">
        <v>4</v>
      </c>
      <c r="AR25" s="41">
        <v>17</v>
      </c>
      <c r="AS25" s="7">
        <v>35</v>
      </c>
      <c r="AT25" s="7">
        <v>38</v>
      </c>
      <c r="AU25" s="7">
        <v>21</v>
      </c>
      <c r="AV25" s="7">
        <v>94</v>
      </c>
      <c r="AW25" s="40">
        <v>18</v>
      </c>
      <c r="AX25">
        <f t="shared" si="4"/>
        <v>44.333333333333336</v>
      </c>
      <c r="AY25">
        <f t="shared" si="5"/>
        <v>28.1</v>
      </c>
      <c r="AZ25">
        <v>1</v>
      </c>
    </row>
    <row r="26" spans="1:52">
      <c r="A26" s="12" t="s">
        <v>81</v>
      </c>
      <c r="B26" s="7">
        <v>9</v>
      </c>
      <c r="C26" s="12" t="s">
        <v>12</v>
      </c>
      <c r="D26" s="7">
        <v>8</v>
      </c>
      <c r="E26" s="7">
        <v>22</v>
      </c>
      <c r="F26" s="7">
        <v>39</v>
      </c>
      <c r="G26" s="8">
        <v>38</v>
      </c>
      <c r="H26" s="8">
        <v>21</v>
      </c>
      <c r="I26" s="7">
        <v>34</v>
      </c>
      <c r="J26" s="7">
        <v>30</v>
      </c>
      <c r="K26" s="7">
        <v>49</v>
      </c>
      <c r="L26" s="7">
        <v>45</v>
      </c>
      <c r="M26" s="7">
        <v>53</v>
      </c>
      <c r="N26">
        <f t="shared" si="0"/>
        <v>49</v>
      </c>
      <c r="O26">
        <f t="shared" si="1"/>
        <v>33.9</v>
      </c>
      <c r="P26">
        <v>1</v>
      </c>
      <c r="S26" s="12" t="s">
        <v>81</v>
      </c>
      <c r="T26" s="7">
        <v>9</v>
      </c>
      <c r="U26" s="12" t="s">
        <v>12</v>
      </c>
      <c r="V26" s="7">
        <v>11</v>
      </c>
      <c r="W26" s="7">
        <v>28</v>
      </c>
      <c r="X26" s="7">
        <v>62</v>
      </c>
      <c r="Y26" s="8">
        <v>46</v>
      </c>
      <c r="Z26" s="8">
        <v>24</v>
      </c>
      <c r="AA26" s="7">
        <v>57</v>
      </c>
      <c r="AB26" s="7">
        <v>47</v>
      </c>
      <c r="AC26" s="7">
        <v>112</v>
      </c>
      <c r="AD26" s="7">
        <v>111</v>
      </c>
      <c r="AE26" s="7">
        <v>130</v>
      </c>
      <c r="AF26">
        <f t="shared" si="2"/>
        <v>117.66666666666667</v>
      </c>
      <c r="AG26">
        <f t="shared" si="3"/>
        <v>62.8</v>
      </c>
      <c r="AH26">
        <v>1</v>
      </c>
      <c r="AK26" s="12" t="s">
        <v>81</v>
      </c>
      <c r="AL26" s="7">
        <v>9</v>
      </c>
      <c r="AM26" s="12" t="s">
        <v>12</v>
      </c>
      <c r="AN26" s="7">
        <v>15</v>
      </c>
      <c r="AO26" s="7">
        <v>42</v>
      </c>
      <c r="AP26" s="7">
        <v>9</v>
      </c>
      <c r="AQ26" s="8">
        <v>9</v>
      </c>
      <c r="AR26" s="8">
        <v>40</v>
      </c>
      <c r="AS26" s="7">
        <v>45</v>
      </c>
      <c r="AT26" s="7">
        <v>29</v>
      </c>
      <c r="AU26" s="7">
        <v>10</v>
      </c>
      <c r="AV26" s="7">
        <v>9</v>
      </c>
      <c r="AW26" s="7">
        <v>4</v>
      </c>
      <c r="AX26">
        <f t="shared" si="4"/>
        <v>7.666666666666667</v>
      </c>
      <c r="AY26">
        <f t="shared" si="5"/>
        <v>21.2</v>
      </c>
      <c r="AZ26">
        <v>1</v>
      </c>
    </row>
    <row r="27" spans="1:52">
      <c r="A27" s="12" t="s">
        <v>84</v>
      </c>
      <c r="B27" s="7">
        <v>10</v>
      </c>
      <c r="C27" s="12" t="s">
        <v>12</v>
      </c>
      <c r="D27" s="7">
        <v>10</v>
      </c>
      <c r="E27" s="71">
        <v>33</v>
      </c>
      <c r="F27" s="7">
        <v>23</v>
      </c>
      <c r="G27" s="78">
        <v>38</v>
      </c>
      <c r="H27" s="8">
        <v>45</v>
      </c>
      <c r="I27" s="7">
        <v>48</v>
      </c>
      <c r="J27" s="7">
        <v>62</v>
      </c>
      <c r="K27" s="7">
        <v>57</v>
      </c>
      <c r="L27" s="7">
        <v>69</v>
      </c>
      <c r="M27" s="7">
        <v>75</v>
      </c>
      <c r="N27">
        <f t="shared" si="0"/>
        <v>67</v>
      </c>
      <c r="O27">
        <f t="shared" si="1"/>
        <v>46</v>
      </c>
      <c r="P27">
        <v>1</v>
      </c>
      <c r="S27" s="12" t="s">
        <v>84</v>
      </c>
      <c r="T27" s="7">
        <v>10</v>
      </c>
      <c r="U27" s="12" t="s">
        <v>12</v>
      </c>
      <c r="V27" s="7">
        <v>14</v>
      </c>
      <c r="W27" s="71">
        <v>57</v>
      </c>
      <c r="X27" s="7">
        <v>46</v>
      </c>
      <c r="Y27" s="78">
        <v>76</v>
      </c>
      <c r="Z27" s="8">
        <v>111</v>
      </c>
      <c r="AA27" s="7">
        <v>127</v>
      </c>
      <c r="AB27" s="7">
        <v>147</v>
      </c>
      <c r="AC27" s="7">
        <v>173</v>
      </c>
      <c r="AD27" s="7">
        <v>238</v>
      </c>
      <c r="AE27" s="7">
        <v>211</v>
      </c>
      <c r="AF27">
        <f t="shared" si="2"/>
        <v>207.33333333333334</v>
      </c>
      <c r="AG27">
        <f t="shared" si="3"/>
        <v>120</v>
      </c>
      <c r="AH27">
        <v>1</v>
      </c>
      <c r="AK27" s="12" t="s">
        <v>84</v>
      </c>
      <c r="AL27" s="7">
        <v>10</v>
      </c>
      <c r="AM27" s="12" t="s">
        <v>12</v>
      </c>
      <c r="AN27" s="7">
        <v>5</v>
      </c>
      <c r="AO27" s="7">
        <v>21</v>
      </c>
      <c r="AP27" s="7">
        <v>14</v>
      </c>
      <c r="AQ27" s="78">
        <v>11</v>
      </c>
      <c r="AR27" s="8">
        <v>10</v>
      </c>
      <c r="AS27" s="7">
        <v>9</v>
      </c>
      <c r="AT27" s="7">
        <v>26</v>
      </c>
      <c r="AU27" s="7">
        <v>20</v>
      </c>
      <c r="AV27" s="7">
        <v>11</v>
      </c>
      <c r="AW27" s="7">
        <v>2</v>
      </c>
      <c r="AX27">
        <f t="shared" si="4"/>
        <v>11</v>
      </c>
      <c r="AY27">
        <f t="shared" si="5"/>
        <v>12.9</v>
      </c>
      <c r="AZ27">
        <v>1</v>
      </c>
    </row>
    <row r="28" spans="1:52">
      <c r="A28" s="12" t="s">
        <v>88</v>
      </c>
      <c r="B28" s="7">
        <v>13</v>
      </c>
      <c r="C28" s="12" t="s">
        <v>12</v>
      </c>
      <c r="D28" s="7">
        <v>0</v>
      </c>
      <c r="E28" s="7">
        <v>39</v>
      </c>
      <c r="F28" s="7">
        <v>36</v>
      </c>
      <c r="G28" s="8">
        <v>52</v>
      </c>
      <c r="H28" s="8">
        <v>55</v>
      </c>
      <c r="I28" s="7">
        <v>72</v>
      </c>
      <c r="J28" s="6">
        <v>73</v>
      </c>
      <c r="K28" s="10">
        <v>75</v>
      </c>
      <c r="L28" s="7">
        <v>75</v>
      </c>
      <c r="M28" s="7">
        <v>75</v>
      </c>
      <c r="N28">
        <f t="shared" si="0"/>
        <v>75</v>
      </c>
      <c r="O28">
        <f t="shared" si="1"/>
        <v>55.2</v>
      </c>
      <c r="P28">
        <v>1</v>
      </c>
      <c r="S28" s="12" t="s">
        <v>88</v>
      </c>
      <c r="T28" s="7">
        <v>13</v>
      </c>
      <c r="U28" s="12" t="s">
        <v>12</v>
      </c>
      <c r="V28" s="7">
        <v>0</v>
      </c>
      <c r="W28" s="7">
        <v>70</v>
      </c>
      <c r="X28" s="7">
        <v>65</v>
      </c>
      <c r="Y28" s="8">
        <v>77</v>
      </c>
      <c r="Z28" s="8">
        <v>120</v>
      </c>
      <c r="AA28" s="7">
        <v>191</v>
      </c>
      <c r="AB28" s="6">
        <v>254</v>
      </c>
      <c r="AC28" s="10">
        <v>213</v>
      </c>
      <c r="AD28" s="7">
        <v>300</v>
      </c>
      <c r="AE28" s="7">
        <v>265</v>
      </c>
      <c r="AF28">
        <f t="shared" si="2"/>
        <v>259.33333333333331</v>
      </c>
      <c r="AG28">
        <f t="shared" si="3"/>
        <v>155.5</v>
      </c>
      <c r="AH28">
        <v>1</v>
      </c>
      <c r="AK28" s="12" t="s">
        <v>88</v>
      </c>
      <c r="AL28" s="7">
        <v>13</v>
      </c>
      <c r="AM28" s="12" t="s">
        <v>12</v>
      </c>
      <c r="AN28" s="7">
        <v>0</v>
      </c>
      <c r="AO28" s="7">
        <v>6</v>
      </c>
      <c r="AP28" s="7">
        <v>3</v>
      </c>
      <c r="AQ28" s="8">
        <v>0</v>
      </c>
      <c r="AR28" s="8">
        <v>3</v>
      </c>
      <c r="AS28" s="7">
        <v>20</v>
      </c>
      <c r="AT28" s="6">
        <v>20</v>
      </c>
      <c r="AU28" s="10">
        <v>7</v>
      </c>
      <c r="AV28" s="7">
        <v>32</v>
      </c>
      <c r="AW28" s="7">
        <v>18</v>
      </c>
      <c r="AX28">
        <f t="shared" si="4"/>
        <v>19</v>
      </c>
      <c r="AY28">
        <f t="shared" si="5"/>
        <v>10.9</v>
      </c>
      <c r="AZ28">
        <v>1</v>
      </c>
    </row>
    <row r="29" spans="1:52" ht="25.9">
      <c r="A29" s="61" t="s">
        <v>89</v>
      </c>
      <c r="B29" s="7">
        <v>14</v>
      </c>
      <c r="C29" s="12" t="s">
        <v>12</v>
      </c>
      <c r="D29" s="7">
        <v>12</v>
      </c>
      <c r="E29" s="7">
        <v>24</v>
      </c>
      <c r="F29" s="7">
        <v>41</v>
      </c>
      <c r="G29" s="8">
        <v>60</v>
      </c>
      <c r="H29" s="8">
        <v>75</v>
      </c>
      <c r="I29" s="80">
        <v>75</v>
      </c>
      <c r="J29" s="7">
        <v>74</v>
      </c>
      <c r="K29" s="7">
        <v>75</v>
      </c>
      <c r="L29" s="7">
        <v>75</v>
      </c>
      <c r="M29" s="7">
        <v>75</v>
      </c>
      <c r="N29">
        <f t="shared" si="0"/>
        <v>75</v>
      </c>
      <c r="O29">
        <f t="shared" si="1"/>
        <v>58.6</v>
      </c>
      <c r="P29">
        <v>1</v>
      </c>
      <c r="S29" s="61" t="s">
        <v>89</v>
      </c>
      <c r="T29" s="7">
        <v>14</v>
      </c>
      <c r="U29" s="12" t="s">
        <v>12</v>
      </c>
      <c r="V29" s="7">
        <v>24</v>
      </c>
      <c r="W29" s="7">
        <v>65</v>
      </c>
      <c r="X29" s="7">
        <v>163</v>
      </c>
      <c r="Y29" s="8">
        <v>181</v>
      </c>
      <c r="Z29" s="8">
        <v>274</v>
      </c>
      <c r="AA29" s="80">
        <v>237</v>
      </c>
      <c r="AB29" s="7">
        <v>201</v>
      </c>
      <c r="AC29" s="7">
        <v>248</v>
      </c>
      <c r="AD29" s="7">
        <v>208</v>
      </c>
      <c r="AE29" s="7">
        <v>204</v>
      </c>
      <c r="AF29">
        <f t="shared" si="2"/>
        <v>220</v>
      </c>
      <c r="AG29">
        <f t="shared" si="3"/>
        <v>180.5</v>
      </c>
      <c r="AH29">
        <v>1</v>
      </c>
      <c r="AK29" s="61" t="s">
        <v>89</v>
      </c>
      <c r="AL29" s="7">
        <v>14</v>
      </c>
      <c r="AM29" s="12" t="s">
        <v>12</v>
      </c>
      <c r="AN29" s="7">
        <v>7</v>
      </c>
      <c r="AO29" s="7">
        <v>16</v>
      </c>
      <c r="AP29" s="7">
        <v>53</v>
      </c>
      <c r="AQ29" s="8">
        <v>14</v>
      </c>
      <c r="AR29" s="8">
        <v>47</v>
      </c>
      <c r="AS29" s="80">
        <v>40</v>
      </c>
      <c r="AT29" s="7">
        <v>16</v>
      </c>
      <c r="AU29" s="7">
        <v>24</v>
      </c>
      <c r="AV29" s="7">
        <v>35</v>
      </c>
      <c r="AW29" s="7">
        <v>25</v>
      </c>
      <c r="AX29">
        <f t="shared" si="4"/>
        <v>28</v>
      </c>
      <c r="AY29">
        <f t="shared" si="5"/>
        <v>27.7</v>
      </c>
      <c r="AZ29">
        <v>1</v>
      </c>
    </row>
    <row r="30" spans="1:52">
      <c r="M30" s="48" t="s">
        <v>252</v>
      </c>
      <c r="N30">
        <f>AVERAGE(N24:N29)</f>
        <v>63.333333333333336</v>
      </c>
      <c r="O30">
        <f>AVERAGE(O24:O29)</f>
        <v>46.183333333333337</v>
      </c>
      <c r="AE30" s="48" t="s">
        <v>252</v>
      </c>
      <c r="AF30">
        <f>AVERAGE(AF24:AF29)</f>
        <v>167.5</v>
      </c>
      <c r="AG30">
        <f>AVERAGE(AG24:AG29)</f>
        <v>111.41666666666667</v>
      </c>
      <c r="AW30" s="48" t="s">
        <v>252</v>
      </c>
      <c r="AX30">
        <f>AVERAGE(AX24:AX29)</f>
        <v>21.722222222222225</v>
      </c>
      <c r="AY30">
        <f>AVERAGE(AY24:AY29)</f>
        <v>19.383333333333336</v>
      </c>
    </row>
    <row r="32" spans="1:52">
      <c r="A32" s="12" t="s">
        <v>66</v>
      </c>
      <c r="B32" s="7">
        <v>4</v>
      </c>
      <c r="C32" s="12" t="s">
        <v>12</v>
      </c>
      <c r="D32" s="40">
        <v>14</v>
      </c>
      <c r="E32" s="7">
        <v>0</v>
      </c>
      <c r="F32" s="7">
        <v>7</v>
      </c>
      <c r="G32" s="8">
        <v>32</v>
      </c>
      <c r="H32" s="41">
        <v>47</v>
      </c>
      <c r="I32" s="7">
        <v>39</v>
      </c>
      <c r="J32" s="6">
        <v>39</v>
      </c>
      <c r="K32" s="7">
        <v>56</v>
      </c>
      <c r="L32" s="7">
        <v>75</v>
      </c>
      <c r="M32" s="40">
        <v>75</v>
      </c>
      <c r="N32">
        <f>AVERAGE(K32:M32)</f>
        <v>68.666666666666671</v>
      </c>
      <c r="O32">
        <f>AVERAGE(D32:M32)</f>
        <v>38.4</v>
      </c>
      <c r="P32">
        <v>30</v>
      </c>
      <c r="S32" s="12" t="s">
        <v>66</v>
      </c>
      <c r="T32" s="7">
        <v>4</v>
      </c>
      <c r="U32" s="12" t="s">
        <v>12</v>
      </c>
      <c r="V32" s="40">
        <v>28</v>
      </c>
      <c r="W32" s="7">
        <v>0</v>
      </c>
      <c r="X32" s="7">
        <v>17</v>
      </c>
      <c r="Y32" s="8">
        <v>114</v>
      </c>
      <c r="Z32" s="41">
        <v>112</v>
      </c>
      <c r="AA32" s="7">
        <v>62</v>
      </c>
      <c r="AB32" s="6">
        <v>59</v>
      </c>
      <c r="AC32" s="7">
        <v>243</v>
      </c>
      <c r="AD32" s="7">
        <v>262</v>
      </c>
      <c r="AE32" s="40">
        <v>340</v>
      </c>
      <c r="AF32">
        <f>AVERAGE(AC32:AE32)</f>
        <v>281.66666666666669</v>
      </c>
      <c r="AG32">
        <f>AVERAGE(V32:AE32)</f>
        <v>123.7</v>
      </c>
      <c r="AH32">
        <v>30</v>
      </c>
      <c r="AK32" s="12" t="s">
        <v>66</v>
      </c>
      <c r="AL32" s="7">
        <v>4</v>
      </c>
      <c r="AM32" s="12" t="s">
        <v>12</v>
      </c>
      <c r="AN32" s="40">
        <v>16</v>
      </c>
      <c r="AO32" s="7">
        <v>1</v>
      </c>
      <c r="AP32" s="7">
        <v>21</v>
      </c>
      <c r="AQ32" s="8">
        <v>6</v>
      </c>
      <c r="AR32" s="41">
        <v>23</v>
      </c>
      <c r="AS32" s="7">
        <v>33</v>
      </c>
      <c r="AT32" s="6">
        <v>23</v>
      </c>
      <c r="AU32" s="7">
        <v>7</v>
      </c>
      <c r="AV32" s="7">
        <v>12</v>
      </c>
      <c r="AW32" s="40">
        <v>1</v>
      </c>
      <c r="AX32">
        <f>AVERAGE(AU32:AW32)</f>
        <v>6.666666666666667</v>
      </c>
      <c r="AY32">
        <f>AVERAGE(AN32:AW32)</f>
        <v>14.3</v>
      </c>
      <c r="AZ32">
        <v>30</v>
      </c>
    </row>
    <row r="33" spans="1:52">
      <c r="A33" s="12" t="s">
        <v>75</v>
      </c>
      <c r="B33" s="7">
        <v>7</v>
      </c>
      <c r="C33" s="12" t="s">
        <v>12</v>
      </c>
      <c r="D33" s="7">
        <v>27</v>
      </c>
      <c r="E33" s="7">
        <v>39</v>
      </c>
      <c r="F33" s="7">
        <v>29</v>
      </c>
      <c r="G33" s="8">
        <v>48</v>
      </c>
      <c r="H33" s="8">
        <v>56</v>
      </c>
      <c r="I33" s="7">
        <v>49</v>
      </c>
      <c r="J33" s="7">
        <v>75</v>
      </c>
      <c r="K33" s="73">
        <v>75</v>
      </c>
      <c r="L33" s="7">
        <v>69</v>
      </c>
      <c r="M33" s="7">
        <v>75</v>
      </c>
      <c r="N33">
        <f>AVERAGE(K33:M33)</f>
        <v>73</v>
      </c>
      <c r="O33">
        <f>AVERAGE(D33:M33)</f>
        <v>54.2</v>
      </c>
      <c r="P33">
        <v>30</v>
      </c>
      <c r="Q33" t="s">
        <v>253</v>
      </c>
      <c r="S33" s="12" t="s">
        <v>75</v>
      </c>
      <c r="T33" s="7">
        <v>7</v>
      </c>
      <c r="U33" s="12" t="s">
        <v>12</v>
      </c>
      <c r="V33" s="7">
        <v>48</v>
      </c>
      <c r="W33" s="7">
        <v>72</v>
      </c>
      <c r="X33" s="7">
        <v>44</v>
      </c>
      <c r="Y33" s="8">
        <v>96</v>
      </c>
      <c r="Z33" s="8">
        <v>102</v>
      </c>
      <c r="AA33" s="7">
        <v>48</v>
      </c>
      <c r="AB33" s="7">
        <v>127</v>
      </c>
      <c r="AC33" s="73">
        <v>115</v>
      </c>
      <c r="AD33" s="7">
        <v>100</v>
      </c>
      <c r="AE33" s="7">
        <v>101</v>
      </c>
      <c r="AF33">
        <f>AVERAGE(AC33:AE33)</f>
        <v>105.33333333333333</v>
      </c>
      <c r="AG33">
        <f>AVERAGE(V33:AE33)</f>
        <v>85.3</v>
      </c>
      <c r="AH33">
        <v>30</v>
      </c>
      <c r="AK33" s="12" t="s">
        <v>75</v>
      </c>
      <c r="AL33" s="7">
        <v>7</v>
      </c>
      <c r="AM33" s="12" t="s">
        <v>12</v>
      </c>
      <c r="AN33" s="7">
        <v>1</v>
      </c>
      <c r="AO33" s="7">
        <v>30</v>
      </c>
      <c r="AP33" s="7">
        <v>6</v>
      </c>
      <c r="AQ33" s="8">
        <v>14</v>
      </c>
      <c r="AR33" s="8">
        <v>3</v>
      </c>
      <c r="AS33" s="7">
        <v>18</v>
      </c>
      <c r="AT33" s="7">
        <v>4</v>
      </c>
      <c r="AU33" s="73">
        <v>14</v>
      </c>
      <c r="AV33" s="7">
        <v>12</v>
      </c>
      <c r="AW33" s="7">
        <v>5</v>
      </c>
      <c r="AX33">
        <f>AVERAGE(AU33:AW33)</f>
        <v>10.333333333333334</v>
      </c>
      <c r="AY33">
        <f>AVERAGE(AN33:AW33)</f>
        <v>10.7</v>
      </c>
      <c r="AZ33">
        <v>30</v>
      </c>
    </row>
    <row r="34" spans="1:52">
      <c r="A34" s="12" t="s">
        <v>78</v>
      </c>
      <c r="B34" s="7">
        <v>8</v>
      </c>
      <c r="C34" s="12" t="s">
        <v>12</v>
      </c>
      <c r="D34" s="7">
        <v>11</v>
      </c>
      <c r="E34" s="71">
        <v>32</v>
      </c>
      <c r="F34" s="7">
        <v>40</v>
      </c>
      <c r="G34" s="8">
        <v>39</v>
      </c>
      <c r="H34" s="8">
        <v>35</v>
      </c>
      <c r="I34" s="7">
        <v>48</v>
      </c>
      <c r="J34" s="7">
        <v>54</v>
      </c>
      <c r="K34" s="7">
        <v>58</v>
      </c>
      <c r="L34" s="7">
        <v>52</v>
      </c>
      <c r="M34" s="7">
        <v>63</v>
      </c>
      <c r="N34">
        <f>AVERAGE(K34:M34)</f>
        <v>57.666666666666664</v>
      </c>
      <c r="O34">
        <f>AVERAGE(D34:M34)</f>
        <v>43.2</v>
      </c>
      <c r="P34">
        <v>30</v>
      </c>
      <c r="S34" s="12" t="s">
        <v>78</v>
      </c>
      <c r="T34" s="7">
        <v>8</v>
      </c>
      <c r="U34" s="12" t="s">
        <v>12</v>
      </c>
      <c r="V34" s="7">
        <v>14</v>
      </c>
      <c r="W34" s="71">
        <v>65</v>
      </c>
      <c r="X34" s="7">
        <v>85</v>
      </c>
      <c r="Y34" s="8">
        <v>92</v>
      </c>
      <c r="Z34" s="8">
        <v>65</v>
      </c>
      <c r="AA34" s="7">
        <v>94</v>
      </c>
      <c r="AB34" s="7">
        <v>131</v>
      </c>
      <c r="AC34" s="7">
        <v>113</v>
      </c>
      <c r="AD34" s="7">
        <v>104</v>
      </c>
      <c r="AE34" s="7">
        <v>114</v>
      </c>
      <c r="AF34">
        <f>AVERAGE(AC34:AE34)</f>
        <v>110.33333333333333</v>
      </c>
      <c r="AG34">
        <f>AVERAGE(V34:AE34)</f>
        <v>87.7</v>
      </c>
      <c r="AH34">
        <v>30</v>
      </c>
      <c r="AK34" s="12" t="s">
        <v>78</v>
      </c>
      <c r="AL34" s="7">
        <v>8</v>
      </c>
      <c r="AM34" s="12" t="s">
        <v>12</v>
      </c>
      <c r="AN34" s="7">
        <v>24</v>
      </c>
      <c r="AO34" s="7">
        <v>14</v>
      </c>
      <c r="AP34" s="7">
        <v>3</v>
      </c>
      <c r="AQ34" s="8">
        <v>3</v>
      </c>
      <c r="AR34" s="8">
        <v>14</v>
      </c>
      <c r="AS34" s="7">
        <v>11</v>
      </c>
      <c r="AT34" s="7">
        <v>3</v>
      </c>
      <c r="AU34" s="7">
        <v>13</v>
      </c>
      <c r="AV34" s="7">
        <v>27</v>
      </c>
      <c r="AW34" s="7">
        <v>23</v>
      </c>
      <c r="AX34">
        <f>AVERAGE(AU34:AW34)</f>
        <v>21</v>
      </c>
      <c r="AY34">
        <f>AVERAGE(AN34:AW34)</f>
        <v>13.5</v>
      </c>
      <c r="AZ34">
        <v>30</v>
      </c>
    </row>
    <row r="35" spans="1:52">
      <c r="A35" s="12" t="s">
        <v>91</v>
      </c>
      <c r="B35" s="7">
        <v>16</v>
      </c>
      <c r="C35" s="12" t="s">
        <v>12</v>
      </c>
      <c r="D35" s="7">
        <v>13</v>
      </c>
      <c r="E35" s="7">
        <v>29</v>
      </c>
      <c r="F35" s="7">
        <v>47</v>
      </c>
      <c r="G35" s="8">
        <v>29</v>
      </c>
      <c r="H35" s="8">
        <v>33</v>
      </c>
      <c r="I35" s="7">
        <v>45</v>
      </c>
      <c r="J35" s="7">
        <v>49</v>
      </c>
      <c r="K35" s="7">
        <v>53</v>
      </c>
      <c r="L35" s="7">
        <v>61</v>
      </c>
      <c r="M35" s="7">
        <v>68</v>
      </c>
      <c r="N35">
        <f>AVERAGE(K35:M35)</f>
        <v>60.666666666666664</v>
      </c>
      <c r="O35">
        <f>AVERAGE(D35:M35)</f>
        <v>42.7</v>
      </c>
      <c r="P35">
        <v>30</v>
      </c>
      <c r="S35" s="12" t="s">
        <v>91</v>
      </c>
      <c r="T35" s="7">
        <v>16</v>
      </c>
      <c r="U35" s="12" t="s">
        <v>12</v>
      </c>
      <c r="V35" s="7">
        <v>20</v>
      </c>
      <c r="W35" s="7">
        <v>50</v>
      </c>
      <c r="X35" s="7">
        <v>90</v>
      </c>
      <c r="Y35" s="8">
        <v>65</v>
      </c>
      <c r="Z35" s="8">
        <v>60</v>
      </c>
      <c r="AA35" s="7">
        <v>85</v>
      </c>
      <c r="AB35" s="7">
        <v>71</v>
      </c>
      <c r="AC35" s="7">
        <v>74</v>
      </c>
      <c r="AD35" s="7">
        <v>88</v>
      </c>
      <c r="AE35" s="7">
        <v>80</v>
      </c>
      <c r="AF35">
        <f>AVERAGE(AC35:AE35)</f>
        <v>80.666666666666671</v>
      </c>
      <c r="AG35">
        <f>AVERAGE(V35:AE35)</f>
        <v>68.3</v>
      </c>
      <c r="AH35">
        <v>30</v>
      </c>
      <c r="AK35" s="12" t="s">
        <v>91</v>
      </c>
      <c r="AL35" s="7">
        <v>16</v>
      </c>
      <c r="AM35" s="12" t="s">
        <v>12</v>
      </c>
      <c r="AN35" s="7">
        <v>5</v>
      </c>
      <c r="AO35" s="7">
        <v>1</v>
      </c>
      <c r="AP35" s="7">
        <v>0</v>
      </c>
      <c r="AQ35" s="8">
        <v>0</v>
      </c>
      <c r="AR35" s="8">
        <v>0</v>
      </c>
      <c r="AS35" s="7">
        <v>1</v>
      </c>
      <c r="AT35" s="7">
        <v>1</v>
      </c>
      <c r="AU35" s="7">
        <v>1</v>
      </c>
      <c r="AV35" s="7">
        <v>3</v>
      </c>
      <c r="AW35" s="7">
        <v>0</v>
      </c>
      <c r="AX35">
        <f>AVERAGE(AU35:AW35)</f>
        <v>1.3333333333333333</v>
      </c>
      <c r="AY35">
        <f>AVERAGE(AN35:AW35)</f>
        <v>1.2</v>
      </c>
      <c r="AZ35">
        <v>30</v>
      </c>
    </row>
    <row r="36" spans="1:52">
      <c r="M36" s="48" t="s">
        <v>252</v>
      </c>
      <c r="N36">
        <f>AVERAGE(N32:N35)</f>
        <v>65</v>
      </c>
      <c r="O36">
        <f>AVERAGE(O32:O35)</f>
        <v>44.625</v>
      </c>
      <c r="AE36" s="48" t="s">
        <v>252</v>
      </c>
      <c r="AF36">
        <f>AVERAGE(AF32:AF35)</f>
        <v>144.5</v>
      </c>
      <c r="AG36">
        <f>AVERAGE(AG32:AG35)</f>
        <v>91.25</v>
      </c>
      <c r="AW36" s="48" t="s">
        <v>252</v>
      </c>
      <c r="AX36">
        <f>AVERAGE(AX32:AX35)</f>
        <v>9.8333333333333339</v>
      </c>
      <c r="AY36">
        <f>AVERAGE(AY32:AY35)</f>
        <v>9.9250000000000007</v>
      </c>
    </row>
    <row r="38" spans="1:52">
      <c r="A38" s="12" t="s">
        <v>63</v>
      </c>
      <c r="B38" s="7">
        <v>3</v>
      </c>
      <c r="C38" s="12" t="s">
        <v>12</v>
      </c>
      <c r="D38" s="40">
        <v>22</v>
      </c>
      <c r="E38" s="7">
        <v>13</v>
      </c>
      <c r="F38" s="7">
        <v>22</v>
      </c>
      <c r="G38" s="8">
        <v>32</v>
      </c>
      <c r="H38" s="41">
        <v>22</v>
      </c>
      <c r="I38" s="7">
        <v>37</v>
      </c>
      <c r="J38" s="7">
        <v>31</v>
      </c>
      <c r="K38" s="7">
        <v>57</v>
      </c>
      <c r="L38" s="7">
        <v>35</v>
      </c>
      <c r="M38" s="40">
        <v>61</v>
      </c>
      <c r="N38">
        <f>AVERAGE(K38:M38)</f>
        <v>51</v>
      </c>
      <c r="O38">
        <f>AVERAGE(D38:M38)</f>
        <v>33.200000000000003</v>
      </c>
      <c r="P38" t="s">
        <v>254</v>
      </c>
      <c r="S38" s="12" t="s">
        <v>63</v>
      </c>
      <c r="T38" s="7">
        <v>3</v>
      </c>
      <c r="U38" s="12" t="s">
        <v>12</v>
      </c>
      <c r="V38" s="40">
        <v>23</v>
      </c>
      <c r="W38" s="7">
        <v>23</v>
      </c>
      <c r="X38" s="7">
        <v>74</v>
      </c>
      <c r="Y38" s="8">
        <v>105</v>
      </c>
      <c r="Z38" s="41">
        <v>49</v>
      </c>
      <c r="AA38" s="7">
        <v>62</v>
      </c>
      <c r="AB38" s="7">
        <v>54</v>
      </c>
      <c r="AC38" s="7">
        <v>104</v>
      </c>
      <c r="AD38" s="7">
        <v>50</v>
      </c>
      <c r="AE38" s="40">
        <v>103</v>
      </c>
      <c r="AF38">
        <f>AVERAGE(AC38:AE38)</f>
        <v>85.666666666666671</v>
      </c>
      <c r="AG38">
        <f>AVERAGE(V38:AE38)</f>
        <v>64.7</v>
      </c>
      <c r="AH38" t="s">
        <v>254</v>
      </c>
      <c r="AK38" s="12" t="s">
        <v>63</v>
      </c>
      <c r="AL38" s="7">
        <v>3</v>
      </c>
      <c r="AM38" s="12" t="s">
        <v>12</v>
      </c>
      <c r="AN38" s="40">
        <v>10</v>
      </c>
      <c r="AO38" s="7">
        <v>14</v>
      </c>
      <c r="AP38" s="7">
        <v>17</v>
      </c>
      <c r="AQ38" s="8">
        <v>9</v>
      </c>
      <c r="AR38" s="41">
        <v>11</v>
      </c>
      <c r="AS38" s="7">
        <v>18</v>
      </c>
      <c r="AT38" s="7">
        <v>14</v>
      </c>
      <c r="AU38" s="7">
        <v>17</v>
      </c>
      <c r="AV38" s="7">
        <v>23</v>
      </c>
      <c r="AW38" s="40">
        <v>39</v>
      </c>
      <c r="AX38">
        <f>AVERAGE(AU38:AW38)</f>
        <v>26.333333333333332</v>
      </c>
      <c r="AY38">
        <f>AVERAGE(AN38:AW38)</f>
        <v>17.2</v>
      </c>
      <c r="AZ38" t="s">
        <v>254</v>
      </c>
    </row>
    <row r="39" spans="1:52">
      <c r="A39" s="91" t="s">
        <v>90</v>
      </c>
      <c r="B39" s="92">
        <v>15</v>
      </c>
      <c r="C39" s="91" t="s">
        <v>12</v>
      </c>
      <c r="D39" s="92">
        <v>18</v>
      </c>
      <c r="E39" s="92">
        <v>31</v>
      </c>
      <c r="F39" s="92">
        <v>44</v>
      </c>
      <c r="G39" s="93">
        <v>39</v>
      </c>
      <c r="H39" s="93">
        <v>43</v>
      </c>
      <c r="I39" s="92">
        <v>49</v>
      </c>
      <c r="J39" s="92">
        <v>52</v>
      </c>
      <c r="K39" s="92">
        <v>70</v>
      </c>
      <c r="L39" s="92">
        <v>53</v>
      </c>
      <c r="M39" s="92">
        <v>69</v>
      </c>
      <c r="N39" s="94">
        <f>AVERAGE(K39:M39)</f>
        <v>64</v>
      </c>
      <c r="O39" s="94">
        <f>AVERAGE(D39:M39)</f>
        <v>46.8</v>
      </c>
      <c r="P39" s="94" t="s">
        <v>255</v>
      </c>
      <c r="S39" s="91" t="s">
        <v>90</v>
      </c>
      <c r="T39" s="92">
        <v>15</v>
      </c>
      <c r="U39" s="91" t="s">
        <v>12</v>
      </c>
      <c r="V39" s="92">
        <v>61</v>
      </c>
      <c r="W39" s="92">
        <v>127</v>
      </c>
      <c r="X39" s="92">
        <v>155</v>
      </c>
      <c r="Y39" s="93">
        <v>120</v>
      </c>
      <c r="Z39" s="93">
        <v>119</v>
      </c>
      <c r="AA39" s="92">
        <v>133</v>
      </c>
      <c r="AB39" s="92">
        <v>196</v>
      </c>
      <c r="AC39" s="92">
        <v>310</v>
      </c>
      <c r="AD39" s="92">
        <v>164</v>
      </c>
      <c r="AE39" s="92">
        <v>196</v>
      </c>
      <c r="AF39" s="94">
        <f>AVERAGE(AC39:AE39)</f>
        <v>223.33333333333334</v>
      </c>
      <c r="AG39" s="94">
        <f>AVERAGE(V39:AE39)</f>
        <v>158.1</v>
      </c>
      <c r="AH39" s="94" t="s">
        <v>255</v>
      </c>
      <c r="AK39" s="12" t="s">
        <v>90</v>
      </c>
      <c r="AL39" s="7">
        <v>15</v>
      </c>
      <c r="AM39" s="12" t="s">
        <v>12</v>
      </c>
      <c r="AN39" s="67">
        <v>21</v>
      </c>
      <c r="AO39" s="7">
        <v>18</v>
      </c>
      <c r="AP39" s="7">
        <v>13</v>
      </c>
      <c r="AQ39" s="8">
        <v>29</v>
      </c>
      <c r="AR39" s="8">
        <v>38</v>
      </c>
      <c r="AS39" s="7">
        <v>18</v>
      </c>
      <c r="AT39" s="7">
        <v>58</v>
      </c>
      <c r="AU39" s="7">
        <v>310</v>
      </c>
      <c r="AV39" s="7">
        <v>249</v>
      </c>
      <c r="AW39" s="7">
        <v>142</v>
      </c>
      <c r="AX39">
        <f>AVERAGE(AU39:AW39)</f>
        <v>233.66666666666666</v>
      </c>
      <c r="AY39">
        <f>AVERAGE(AN39:AW39)</f>
        <v>89.6</v>
      </c>
      <c r="AZ39" t="s">
        <v>254</v>
      </c>
    </row>
    <row r="40" spans="1:52">
      <c r="M40" s="48" t="s">
        <v>252</v>
      </c>
      <c r="N40">
        <f>AVERAGE(N38:N39)</f>
        <v>57.5</v>
      </c>
      <c r="O40">
        <f>AVERAGE(O38:O39)</f>
        <v>40</v>
      </c>
      <c r="AE40" s="48" t="s">
        <v>252</v>
      </c>
      <c r="AF40">
        <f>AVERAGE(AF38:AF39)</f>
        <v>154.5</v>
      </c>
      <c r="AG40">
        <f>AVERAGE(AG38:AG39)</f>
        <v>111.4</v>
      </c>
      <c r="AW40" s="48" t="s">
        <v>252</v>
      </c>
      <c r="AX40">
        <f>AVERAGE(AX38:AX39)</f>
        <v>130</v>
      </c>
      <c r="AY40">
        <f>AVERAGE(AY38:AY39)</f>
        <v>53.4</v>
      </c>
    </row>
    <row r="44" spans="1:52">
      <c r="A44" s="12" t="s">
        <v>69</v>
      </c>
      <c r="B44" s="7">
        <v>5</v>
      </c>
      <c r="C44" s="12" t="s">
        <v>224</v>
      </c>
      <c r="D44" s="7">
        <v>10</v>
      </c>
      <c r="E44" s="7">
        <v>3</v>
      </c>
      <c r="F44" s="7">
        <v>29</v>
      </c>
      <c r="G44" s="8">
        <v>17</v>
      </c>
      <c r="H44" s="8">
        <v>7</v>
      </c>
      <c r="I44" s="7">
        <v>16</v>
      </c>
      <c r="J44" s="7">
        <v>22</v>
      </c>
      <c r="K44" s="7">
        <v>27</v>
      </c>
      <c r="L44" s="7">
        <v>33</v>
      </c>
      <c r="M44" s="7">
        <v>29</v>
      </c>
      <c r="N44">
        <f>AVERAGE(K44:M44)</f>
        <v>29.666666666666668</v>
      </c>
      <c r="O44">
        <f>AVERAGE(D44:M44)</f>
        <v>19.3</v>
      </c>
      <c r="P44" t="s">
        <v>256</v>
      </c>
      <c r="Q44" t="s">
        <v>257</v>
      </c>
      <c r="S44" s="12" t="s">
        <v>69</v>
      </c>
      <c r="T44" s="7">
        <v>5</v>
      </c>
      <c r="U44" s="12" t="s">
        <v>224</v>
      </c>
      <c r="V44" s="7">
        <v>21</v>
      </c>
      <c r="W44" s="7">
        <v>3</v>
      </c>
      <c r="X44" s="7">
        <v>69</v>
      </c>
      <c r="Y44" s="8">
        <v>49</v>
      </c>
      <c r="Z44" s="8">
        <v>15</v>
      </c>
      <c r="AA44" s="7">
        <v>32</v>
      </c>
      <c r="AB44" s="7">
        <v>44</v>
      </c>
      <c r="AC44" s="7">
        <v>46</v>
      </c>
      <c r="AD44" s="7">
        <v>70</v>
      </c>
      <c r="AE44" s="7">
        <v>53</v>
      </c>
      <c r="AF44">
        <f>AVERAGE(AC44:AE44)</f>
        <v>56.333333333333336</v>
      </c>
      <c r="AG44">
        <f>AVERAGE(V44:AE44)</f>
        <v>40.200000000000003</v>
      </c>
      <c r="AH44" t="s">
        <v>256</v>
      </c>
      <c r="AK44" s="12" t="s">
        <v>69</v>
      </c>
      <c r="AL44" s="7">
        <v>5</v>
      </c>
      <c r="AM44" s="12" t="s">
        <v>224</v>
      </c>
      <c r="AN44" s="7">
        <v>23</v>
      </c>
      <c r="AO44" s="7">
        <v>4</v>
      </c>
      <c r="AP44" s="7">
        <v>26</v>
      </c>
      <c r="AQ44" s="8">
        <v>4</v>
      </c>
      <c r="AR44" s="8">
        <v>5</v>
      </c>
      <c r="AS44" s="7">
        <v>0</v>
      </c>
      <c r="AT44" s="7">
        <v>0</v>
      </c>
      <c r="AU44" s="7">
        <v>7</v>
      </c>
      <c r="AV44" s="7">
        <v>4</v>
      </c>
      <c r="AW44" s="7">
        <v>8</v>
      </c>
      <c r="AX44">
        <f>AVERAGE(AU44:AW44)</f>
        <v>6.333333333333333</v>
      </c>
      <c r="AY44">
        <f>AVERAGE(AN44:AW44)</f>
        <v>8.1</v>
      </c>
      <c r="AZ44" t="s">
        <v>256</v>
      </c>
    </row>
    <row r="45" spans="1:52">
      <c r="A45" s="12" t="s">
        <v>72</v>
      </c>
      <c r="B45" s="7">
        <v>6</v>
      </c>
      <c r="C45" s="12" t="s">
        <v>224</v>
      </c>
      <c r="D45" s="42">
        <v>17</v>
      </c>
      <c r="E45" s="42">
        <v>35</v>
      </c>
      <c r="F45" s="7">
        <v>36</v>
      </c>
      <c r="G45" s="77">
        <v>33</v>
      </c>
      <c r="H45" s="8">
        <v>25</v>
      </c>
      <c r="I45" s="79">
        <v>27</v>
      </c>
      <c r="J45" s="7">
        <v>33</v>
      </c>
      <c r="K45" s="7">
        <v>26</v>
      </c>
      <c r="L45" s="7">
        <v>22</v>
      </c>
      <c r="M45" s="7">
        <v>40</v>
      </c>
      <c r="N45">
        <f>AVERAGE(K45:M45)</f>
        <v>29.333333333333332</v>
      </c>
      <c r="O45">
        <f>AVERAGE(D45:M45)</f>
        <v>29.4</v>
      </c>
      <c r="P45" t="s">
        <v>256</v>
      </c>
      <c r="S45" s="12" t="s">
        <v>72</v>
      </c>
      <c r="T45" s="7">
        <v>6</v>
      </c>
      <c r="U45" s="12" t="s">
        <v>224</v>
      </c>
      <c r="V45" s="42">
        <v>31</v>
      </c>
      <c r="W45" s="42">
        <v>54</v>
      </c>
      <c r="X45" s="7">
        <v>52</v>
      </c>
      <c r="Y45" s="77">
        <v>45</v>
      </c>
      <c r="Z45" s="8">
        <v>48</v>
      </c>
      <c r="AA45" s="79">
        <v>35</v>
      </c>
      <c r="AB45" s="7">
        <v>42</v>
      </c>
      <c r="AC45" s="7">
        <v>36</v>
      </c>
      <c r="AD45" s="7">
        <v>31</v>
      </c>
      <c r="AE45" s="7">
        <v>52</v>
      </c>
      <c r="AF45">
        <f>AVERAGE(AC45:AE45)</f>
        <v>39.666666666666664</v>
      </c>
      <c r="AG45">
        <f>AVERAGE(V45:AE45)</f>
        <v>42.6</v>
      </c>
      <c r="AH45" t="s">
        <v>256</v>
      </c>
      <c r="AK45" s="12" t="s">
        <v>72</v>
      </c>
      <c r="AL45" s="7">
        <v>6</v>
      </c>
      <c r="AM45" s="12" t="s">
        <v>224</v>
      </c>
      <c r="AN45" s="42">
        <v>6</v>
      </c>
      <c r="AO45" s="7">
        <v>20</v>
      </c>
      <c r="AP45" s="7">
        <v>20</v>
      </c>
      <c r="AQ45" s="77">
        <v>3</v>
      </c>
      <c r="AR45" s="8">
        <v>24</v>
      </c>
      <c r="AS45" s="79">
        <v>9</v>
      </c>
      <c r="AT45" s="7">
        <v>17</v>
      </c>
      <c r="AU45" s="7">
        <v>12</v>
      </c>
      <c r="AV45" s="7">
        <v>9</v>
      </c>
      <c r="AW45" s="7">
        <v>4</v>
      </c>
      <c r="AX45">
        <f>AVERAGE(AU45:AW45)</f>
        <v>8.3333333333333339</v>
      </c>
      <c r="AY45">
        <f>AVERAGE(AN45:AW45)</f>
        <v>12.4</v>
      </c>
      <c r="AZ45" t="s">
        <v>256</v>
      </c>
    </row>
    <row r="46" spans="1:52">
      <c r="A46" s="12" t="s">
        <v>86</v>
      </c>
      <c r="B46" s="7">
        <v>11</v>
      </c>
      <c r="C46" s="12" t="s">
        <v>224</v>
      </c>
      <c r="D46" s="7">
        <v>32</v>
      </c>
      <c r="E46" s="69">
        <v>49</v>
      </c>
      <c r="F46" s="7">
        <v>75</v>
      </c>
      <c r="G46" s="7">
        <v>75</v>
      </c>
      <c r="H46" s="7">
        <v>32</v>
      </c>
      <c r="I46" s="81">
        <v>32</v>
      </c>
      <c r="J46" s="7">
        <v>18</v>
      </c>
      <c r="K46" s="7">
        <v>38</v>
      </c>
      <c r="L46" s="7">
        <v>23</v>
      </c>
      <c r="M46" s="7">
        <v>37</v>
      </c>
      <c r="N46">
        <f>AVERAGE(K46:M46)</f>
        <v>32.666666666666664</v>
      </c>
      <c r="O46">
        <f>AVERAGE(D46:M46)</f>
        <v>41.1</v>
      </c>
      <c r="P46" t="s">
        <v>256</v>
      </c>
      <c r="S46" s="12" t="s">
        <v>86</v>
      </c>
      <c r="T46" s="7">
        <v>11</v>
      </c>
      <c r="U46" s="12" t="s">
        <v>224</v>
      </c>
      <c r="V46" s="7">
        <v>62</v>
      </c>
      <c r="W46" s="69">
        <v>85</v>
      </c>
      <c r="X46" s="7">
        <v>122</v>
      </c>
      <c r="Y46" s="7">
        <v>137</v>
      </c>
      <c r="Z46" s="7">
        <v>52</v>
      </c>
      <c r="AA46" s="81">
        <v>56</v>
      </c>
      <c r="AB46" s="7">
        <v>23</v>
      </c>
      <c r="AC46" s="7">
        <v>75</v>
      </c>
      <c r="AD46" s="7">
        <v>43</v>
      </c>
      <c r="AE46" s="7">
        <v>54</v>
      </c>
      <c r="AF46">
        <f>AVERAGE(AC46:AE46)</f>
        <v>57.333333333333336</v>
      </c>
      <c r="AG46">
        <f>AVERAGE(V46:AE46)</f>
        <v>70.900000000000006</v>
      </c>
      <c r="AH46" t="s">
        <v>256</v>
      </c>
      <c r="AK46" s="12" t="s">
        <v>86</v>
      </c>
      <c r="AL46" s="7">
        <v>11</v>
      </c>
      <c r="AM46" s="12" t="s">
        <v>224</v>
      </c>
      <c r="AN46" s="7">
        <v>36</v>
      </c>
      <c r="AO46" s="7">
        <v>74</v>
      </c>
      <c r="AP46" s="7">
        <v>136</v>
      </c>
      <c r="AQ46" s="7">
        <v>36</v>
      </c>
      <c r="AR46" s="7">
        <v>46</v>
      </c>
      <c r="AS46" s="81">
        <v>66</v>
      </c>
      <c r="AT46" s="7">
        <v>7</v>
      </c>
      <c r="AU46" s="7">
        <v>67</v>
      </c>
      <c r="AV46" s="7">
        <v>19</v>
      </c>
      <c r="AW46" s="7">
        <v>70</v>
      </c>
      <c r="AX46">
        <f>AVERAGE(AU46:AW46)</f>
        <v>52</v>
      </c>
      <c r="AY46">
        <f>AVERAGE(AN46:AW46)</f>
        <v>55.7</v>
      </c>
      <c r="AZ46" t="s">
        <v>256</v>
      </c>
    </row>
    <row r="47" spans="1:52">
      <c r="A47" s="12" t="s">
        <v>87</v>
      </c>
      <c r="B47" s="7">
        <v>12</v>
      </c>
      <c r="C47" s="12" t="s">
        <v>224</v>
      </c>
      <c r="D47" s="7">
        <v>12</v>
      </c>
      <c r="E47" s="7">
        <v>41</v>
      </c>
      <c r="F47" s="73">
        <v>45</v>
      </c>
      <c r="G47" s="77">
        <v>60</v>
      </c>
      <c r="H47" s="8">
        <v>33</v>
      </c>
      <c r="I47" s="90">
        <v>27</v>
      </c>
      <c r="J47" s="7">
        <v>30</v>
      </c>
      <c r="K47" s="7">
        <v>25</v>
      </c>
      <c r="L47" s="7">
        <v>26</v>
      </c>
      <c r="M47" s="7">
        <v>15</v>
      </c>
      <c r="N47">
        <f>AVERAGE(K47:M47)</f>
        <v>22</v>
      </c>
      <c r="O47">
        <f>AVERAGE(D47:M47)</f>
        <v>31.4</v>
      </c>
      <c r="P47" t="s">
        <v>256</v>
      </c>
      <c r="S47" s="12" t="s">
        <v>87</v>
      </c>
      <c r="T47" s="7">
        <v>12</v>
      </c>
      <c r="U47" s="12" t="s">
        <v>224</v>
      </c>
      <c r="V47" s="7">
        <v>18</v>
      </c>
      <c r="W47" s="7">
        <v>99</v>
      </c>
      <c r="X47" s="73">
        <v>72</v>
      </c>
      <c r="Y47" s="77">
        <v>125</v>
      </c>
      <c r="Z47" s="8">
        <v>56</v>
      </c>
      <c r="AA47" s="90">
        <v>40</v>
      </c>
      <c r="AB47" s="7">
        <v>36</v>
      </c>
      <c r="AC47" s="7">
        <v>42</v>
      </c>
      <c r="AD47" s="7">
        <v>48</v>
      </c>
      <c r="AE47" s="7">
        <v>30</v>
      </c>
      <c r="AF47">
        <f>AVERAGE(AC47:AE47)</f>
        <v>40</v>
      </c>
      <c r="AG47">
        <f>AVERAGE(V47:AE47)</f>
        <v>56.6</v>
      </c>
      <c r="AH47" t="s">
        <v>256</v>
      </c>
      <c r="AK47" s="12" t="s">
        <v>87</v>
      </c>
      <c r="AL47" s="7">
        <v>12</v>
      </c>
      <c r="AM47" s="12" t="s">
        <v>224</v>
      </c>
      <c r="AN47" s="7">
        <v>22</v>
      </c>
      <c r="AO47" s="7">
        <v>34</v>
      </c>
      <c r="AP47" s="73">
        <v>49</v>
      </c>
      <c r="AQ47" s="8">
        <v>48</v>
      </c>
      <c r="AR47" s="8">
        <v>31</v>
      </c>
      <c r="AS47" s="90">
        <v>4</v>
      </c>
      <c r="AT47" s="7">
        <v>28</v>
      </c>
      <c r="AU47" s="7">
        <v>28</v>
      </c>
      <c r="AV47" s="7">
        <v>31</v>
      </c>
      <c r="AW47" s="7">
        <v>18</v>
      </c>
      <c r="AX47">
        <f>AVERAGE(AU47:AW47)</f>
        <v>25.666666666666668</v>
      </c>
      <c r="AY47">
        <f>AVERAGE(AN47:AW47)</f>
        <v>29.3</v>
      </c>
      <c r="AZ47" t="s">
        <v>256</v>
      </c>
    </row>
  </sheetData>
  <sortState xmlns:xlrd2="http://schemas.microsoft.com/office/spreadsheetml/2017/richdata2" ref="AK24:AY35">
    <sortCondition ref="AL24:AL35" customList="1,2,9,10,13,14,4,7,8,16,3,15"/>
  </sortState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5"/>
  <sheetViews>
    <sheetView topLeftCell="A62" workbookViewId="0">
      <selection activeCell="N90" sqref="N90"/>
    </sheetView>
  </sheetViews>
  <sheetFormatPr defaultRowHeight="14.45"/>
  <cols>
    <col min="1" max="1" width="23" customWidth="1"/>
    <col min="3" max="3" width="14.7109375" customWidth="1"/>
    <col min="4" max="4" width="9.7109375" bestFit="1" customWidth="1"/>
    <col min="5" max="5" width="10.7109375" customWidth="1"/>
    <col min="6" max="6" width="10" customWidth="1"/>
    <col min="7" max="8" width="10.28515625" customWidth="1"/>
    <col min="9" max="10" width="10" customWidth="1"/>
    <col min="11" max="11" width="10.140625" customWidth="1"/>
    <col min="12" max="12" width="10.28515625" customWidth="1"/>
    <col min="13" max="14" width="10.42578125" customWidth="1"/>
  </cols>
  <sheetData>
    <row r="1" spans="1:5">
      <c r="A1" t="s">
        <v>258</v>
      </c>
    </row>
    <row r="2" spans="1:5">
      <c r="A2" t="s">
        <v>259</v>
      </c>
      <c r="E2" t="s">
        <v>260</v>
      </c>
    </row>
    <row r="3" spans="1:5">
      <c r="A3" t="s">
        <v>203</v>
      </c>
    </row>
    <row r="5" spans="1:5">
      <c r="A5" t="s">
        <v>9</v>
      </c>
    </row>
    <row r="6" spans="1:5">
      <c r="A6" t="s">
        <v>97</v>
      </c>
      <c r="B6" t="s">
        <v>98</v>
      </c>
    </row>
    <row r="7" spans="1:5">
      <c r="A7" t="s">
        <v>100</v>
      </c>
      <c r="B7" t="s">
        <v>101</v>
      </c>
    </row>
    <row r="8" spans="1:5">
      <c r="A8" t="s">
        <v>103</v>
      </c>
      <c r="B8" t="s">
        <v>104</v>
      </c>
    </row>
    <row r="9" spans="1:5">
      <c r="A9" t="s">
        <v>106</v>
      </c>
      <c r="B9" t="s">
        <v>107</v>
      </c>
    </row>
    <row r="10" spans="1:5">
      <c r="A10" t="s">
        <v>109</v>
      </c>
      <c r="B10" t="s">
        <v>83</v>
      </c>
    </row>
    <row r="11" spans="1:5">
      <c r="A11" t="s">
        <v>111</v>
      </c>
      <c r="B11" t="s">
        <v>112</v>
      </c>
    </row>
    <row r="12" spans="1:5">
      <c r="A12" t="s">
        <v>114</v>
      </c>
      <c r="B12" t="s">
        <v>115</v>
      </c>
    </row>
    <row r="13" spans="1:5">
      <c r="A13" t="s">
        <v>117</v>
      </c>
      <c r="B13" t="s">
        <v>118</v>
      </c>
    </row>
    <row r="14" spans="1:5">
      <c r="A14" t="s">
        <v>120</v>
      </c>
      <c r="B14" t="s">
        <v>121</v>
      </c>
    </row>
    <row r="16" spans="1:5">
      <c r="A16" s="39" t="s">
        <v>240</v>
      </c>
    </row>
    <row r="17" spans="1:14">
      <c r="A17" s="100" t="s">
        <v>261</v>
      </c>
    </row>
    <row r="18" spans="1:14">
      <c r="A18" s="101" t="s">
        <v>262</v>
      </c>
    </row>
    <row r="19" spans="1:14">
      <c r="A19" s="45" t="s">
        <v>263</v>
      </c>
    </row>
    <row r="20" spans="1:14">
      <c r="A20" s="103" t="s">
        <v>264</v>
      </c>
    </row>
    <row r="21" spans="1:14">
      <c r="A21" s="76" t="s">
        <v>265</v>
      </c>
    </row>
    <row r="24" spans="1:14">
      <c r="A24" s="10"/>
      <c r="B24" s="10"/>
      <c r="C24" s="10" t="s">
        <v>208</v>
      </c>
      <c r="D24" s="58" t="s">
        <v>209</v>
      </c>
      <c r="E24" s="58" t="s">
        <v>209</v>
      </c>
      <c r="F24" s="58" t="s">
        <v>209</v>
      </c>
      <c r="G24" s="58" t="s">
        <v>209</v>
      </c>
      <c r="H24" s="58" t="s">
        <v>209</v>
      </c>
      <c r="I24" s="58" t="s">
        <v>209</v>
      </c>
      <c r="J24" s="58" t="s">
        <v>209</v>
      </c>
      <c r="K24" s="58" t="s">
        <v>209</v>
      </c>
      <c r="L24" s="58" t="s">
        <v>209</v>
      </c>
      <c r="M24" s="58" t="s">
        <v>209</v>
      </c>
      <c r="N24" s="58" t="s">
        <v>209</v>
      </c>
    </row>
    <row r="25" spans="1:14">
      <c r="A25" s="10" t="s">
        <v>210</v>
      </c>
      <c r="B25" s="10"/>
      <c r="C25" s="10"/>
      <c r="D25" s="5" t="s">
        <v>211</v>
      </c>
      <c r="E25" s="5" t="s">
        <v>212</v>
      </c>
      <c r="F25" s="5" t="s">
        <v>213</v>
      </c>
      <c r="G25" s="5" t="s">
        <v>214</v>
      </c>
      <c r="H25" s="5" t="s">
        <v>215</v>
      </c>
      <c r="I25" s="5" t="s">
        <v>217</v>
      </c>
      <c r="J25" s="5" t="s">
        <v>218</v>
      </c>
      <c r="K25" s="5" t="s">
        <v>216</v>
      </c>
      <c r="L25" s="5" t="s">
        <v>219</v>
      </c>
      <c r="M25" s="5" t="s">
        <v>220</v>
      </c>
      <c r="N25" s="5" t="s">
        <v>221</v>
      </c>
    </row>
    <row r="26" spans="1:14">
      <c r="A26" s="10" t="s">
        <v>222</v>
      </c>
      <c r="B26" s="10" t="s">
        <v>223</v>
      </c>
      <c r="C26" s="10" t="s">
        <v>8</v>
      </c>
      <c r="D26" s="2">
        <v>44298</v>
      </c>
      <c r="E26" s="2">
        <v>44299</v>
      </c>
      <c r="F26" s="2">
        <v>44300</v>
      </c>
      <c r="G26" s="2">
        <v>44301</v>
      </c>
      <c r="H26" s="2">
        <v>44302</v>
      </c>
      <c r="I26" s="2">
        <v>44303</v>
      </c>
      <c r="J26" s="2">
        <v>44304</v>
      </c>
      <c r="K26" s="2">
        <v>44305</v>
      </c>
      <c r="L26" s="2">
        <v>44306</v>
      </c>
      <c r="M26" s="2">
        <v>44307</v>
      </c>
      <c r="N26" s="2">
        <v>44308</v>
      </c>
    </row>
    <row r="27" spans="1:14">
      <c r="A27" s="12" t="s">
        <v>96</v>
      </c>
      <c r="B27" s="7">
        <v>1</v>
      </c>
      <c r="C27" s="12" t="s">
        <v>224</v>
      </c>
      <c r="D27" s="7">
        <v>278</v>
      </c>
      <c r="E27" s="7"/>
      <c r="F27" s="7"/>
      <c r="G27" s="8"/>
      <c r="H27" s="8">
        <v>296</v>
      </c>
      <c r="I27" s="7"/>
      <c r="J27" s="12"/>
      <c r="K27" s="96"/>
      <c r="L27" s="7">
        <v>300</v>
      </c>
      <c r="M27" s="7"/>
      <c r="N27" s="7"/>
    </row>
    <row r="28" spans="1:14" ht="21.6">
      <c r="A28" s="99" t="s">
        <v>99</v>
      </c>
      <c r="B28" s="7">
        <v>2</v>
      </c>
      <c r="C28" s="12" t="s">
        <v>224</v>
      </c>
      <c r="D28" s="7">
        <v>277</v>
      </c>
      <c r="E28" s="7"/>
      <c r="F28" s="7"/>
      <c r="G28" s="8"/>
      <c r="H28" s="8">
        <v>283</v>
      </c>
      <c r="I28" s="7"/>
      <c r="J28" s="12"/>
      <c r="K28" s="96"/>
      <c r="L28" s="7">
        <v>289</v>
      </c>
      <c r="M28" s="7"/>
      <c r="N28" s="7"/>
    </row>
    <row r="29" spans="1:14">
      <c r="A29" s="12" t="s">
        <v>102</v>
      </c>
      <c r="B29" s="7">
        <v>3</v>
      </c>
      <c r="C29" s="12" t="s">
        <v>12</v>
      </c>
      <c r="D29" s="40">
        <v>270</v>
      </c>
      <c r="E29" s="7"/>
      <c r="F29" s="7"/>
      <c r="G29" s="8"/>
      <c r="H29" s="41">
        <v>294</v>
      </c>
      <c r="I29" s="7"/>
      <c r="J29" s="12"/>
      <c r="K29" s="96"/>
      <c r="L29" s="7">
        <v>300</v>
      </c>
      <c r="M29" s="7"/>
      <c r="N29" s="40"/>
    </row>
    <row r="30" spans="1:14">
      <c r="A30" s="12" t="s">
        <v>105</v>
      </c>
      <c r="B30" s="7">
        <v>4</v>
      </c>
      <c r="C30" s="12" t="s">
        <v>12</v>
      </c>
      <c r="D30" s="40">
        <v>307</v>
      </c>
      <c r="E30" s="7"/>
      <c r="F30" s="7"/>
      <c r="G30" s="8"/>
      <c r="H30" s="41">
        <v>308</v>
      </c>
      <c r="I30" s="7"/>
      <c r="J30" s="12"/>
      <c r="K30" s="96"/>
      <c r="L30" s="7">
        <v>317</v>
      </c>
      <c r="M30" s="7"/>
      <c r="N30" s="40"/>
    </row>
    <row r="31" spans="1:14">
      <c r="A31" s="12" t="s">
        <v>108</v>
      </c>
      <c r="B31" s="7">
        <v>5</v>
      </c>
      <c r="C31" s="12" t="s">
        <v>12</v>
      </c>
      <c r="D31" s="40">
        <v>294</v>
      </c>
      <c r="E31" s="7"/>
      <c r="F31" s="42"/>
      <c r="G31" s="42"/>
      <c r="H31" s="105">
        <v>275</v>
      </c>
      <c r="I31" s="7"/>
      <c r="J31" s="12"/>
      <c r="K31" s="96"/>
      <c r="L31" s="7">
        <v>302</v>
      </c>
      <c r="M31" s="7"/>
      <c r="N31" s="40"/>
    </row>
    <row r="32" spans="1:14">
      <c r="A32" s="12" t="s">
        <v>110</v>
      </c>
      <c r="B32" s="7">
        <v>6</v>
      </c>
      <c r="C32" s="12" t="s">
        <v>12</v>
      </c>
      <c r="D32" s="40">
        <v>301</v>
      </c>
      <c r="E32" s="7"/>
      <c r="F32" s="7"/>
      <c r="G32" s="8"/>
      <c r="H32" s="41">
        <v>287</v>
      </c>
      <c r="I32" s="79"/>
      <c r="J32" s="12"/>
      <c r="K32" s="97"/>
      <c r="L32" s="7">
        <v>284</v>
      </c>
      <c r="M32" s="7"/>
      <c r="N32" s="40"/>
    </row>
    <row r="33" spans="1:14">
      <c r="A33" s="12" t="s">
        <v>113</v>
      </c>
      <c r="B33" s="7">
        <v>7</v>
      </c>
      <c r="C33" s="12" t="s">
        <v>12</v>
      </c>
      <c r="D33" s="7">
        <v>261</v>
      </c>
      <c r="E33" s="7"/>
      <c r="F33" s="7"/>
      <c r="G33" s="8"/>
      <c r="H33" s="8">
        <v>284</v>
      </c>
      <c r="I33" s="7"/>
      <c r="J33" s="12"/>
      <c r="K33" s="96"/>
      <c r="L33" s="10">
        <v>283</v>
      </c>
      <c r="M33" s="7"/>
      <c r="N33" s="7"/>
    </row>
    <row r="34" spans="1:14">
      <c r="A34" s="12" t="s">
        <v>116</v>
      </c>
      <c r="B34" s="7">
        <v>8</v>
      </c>
      <c r="C34" s="12" t="s">
        <v>12</v>
      </c>
      <c r="D34" s="7">
        <v>279</v>
      </c>
      <c r="E34" s="7"/>
      <c r="F34" s="7"/>
      <c r="G34" s="104"/>
      <c r="H34" s="8">
        <v>281</v>
      </c>
      <c r="I34" s="80"/>
      <c r="J34" s="12"/>
      <c r="K34" s="98"/>
      <c r="L34" s="7">
        <v>282</v>
      </c>
      <c r="M34" s="7"/>
      <c r="N34" s="7"/>
    </row>
    <row r="35" spans="1:14">
      <c r="A35" s="12" t="s">
        <v>119</v>
      </c>
      <c r="B35" s="7">
        <v>9</v>
      </c>
      <c r="C35" s="12" t="s">
        <v>224</v>
      </c>
      <c r="D35" s="7">
        <v>245</v>
      </c>
      <c r="E35" s="7"/>
      <c r="F35" s="7"/>
      <c r="G35" s="8"/>
      <c r="H35" s="8">
        <v>280</v>
      </c>
      <c r="I35" s="7"/>
      <c r="J35" s="12"/>
      <c r="K35" s="96"/>
      <c r="L35" s="7">
        <v>281</v>
      </c>
      <c r="M35" s="7"/>
      <c r="N35" s="7"/>
    </row>
    <row r="36" spans="1:14">
      <c r="A36" s="12" t="s">
        <v>122</v>
      </c>
      <c r="B36" s="7">
        <v>10</v>
      </c>
      <c r="C36" s="12" t="s">
        <v>224</v>
      </c>
      <c r="D36" s="67">
        <v>254</v>
      </c>
      <c r="E36" s="7"/>
      <c r="F36" s="7"/>
      <c r="G36" s="8"/>
      <c r="H36" s="8">
        <v>262</v>
      </c>
      <c r="I36" s="7"/>
      <c r="J36" s="12"/>
      <c r="K36" s="96"/>
      <c r="L36" s="7">
        <v>279</v>
      </c>
      <c r="M36" s="7"/>
      <c r="N36" s="7"/>
    </row>
    <row r="37" spans="1:14">
      <c r="A37" s="12" t="s">
        <v>123</v>
      </c>
      <c r="B37" s="7">
        <v>11</v>
      </c>
      <c r="C37" s="12" t="s">
        <v>12</v>
      </c>
      <c r="D37" s="7">
        <v>263</v>
      </c>
      <c r="E37" s="7"/>
      <c r="F37" s="7"/>
      <c r="G37" s="7"/>
      <c r="H37" s="7">
        <v>257</v>
      </c>
      <c r="I37" s="81"/>
      <c r="J37" s="12"/>
      <c r="K37" s="96"/>
      <c r="L37" s="7">
        <v>273</v>
      </c>
      <c r="M37" s="7"/>
      <c r="N37" s="7"/>
    </row>
    <row r="38" spans="1:14">
      <c r="A38" s="12" t="s">
        <v>124</v>
      </c>
      <c r="B38" s="7">
        <v>12</v>
      </c>
      <c r="C38" s="12" t="s">
        <v>12</v>
      </c>
      <c r="D38" s="69">
        <v>230</v>
      </c>
      <c r="E38" s="7"/>
      <c r="F38" s="7"/>
      <c r="G38" s="8"/>
      <c r="H38" s="8">
        <v>227</v>
      </c>
      <c r="I38" s="7"/>
      <c r="J38" s="12"/>
      <c r="K38" s="96"/>
      <c r="L38" s="7">
        <v>232</v>
      </c>
      <c r="M38" s="7"/>
      <c r="N38" s="7"/>
    </row>
    <row r="39" spans="1:14">
      <c r="A39" s="12" t="s">
        <v>125</v>
      </c>
      <c r="B39" s="7">
        <v>13</v>
      </c>
      <c r="C39" s="12" t="s">
        <v>12</v>
      </c>
      <c r="D39" s="7">
        <v>304</v>
      </c>
      <c r="E39" s="7"/>
      <c r="F39" s="7"/>
      <c r="G39" s="8"/>
      <c r="H39" s="8">
        <v>289</v>
      </c>
      <c r="I39" s="7"/>
      <c r="J39" s="12"/>
      <c r="K39" s="96"/>
      <c r="L39" s="7">
        <v>290</v>
      </c>
      <c r="M39" s="7"/>
      <c r="N39" s="7"/>
    </row>
    <row r="40" spans="1:14" ht="21.6">
      <c r="A40" s="99" t="s">
        <v>126</v>
      </c>
      <c r="B40" s="7">
        <v>14</v>
      </c>
      <c r="C40" s="12" t="s">
        <v>12</v>
      </c>
      <c r="D40" s="7">
        <v>298</v>
      </c>
      <c r="E40" s="7"/>
      <c r="F40" s="7"/>
      <c r="G40" s="8"/>
      <c r="H40" s="8">
        <v>277</v>
      </c>
      <c r="I40" s="7"/>
      <c r="J40" s="12"/>
      <c r="K40" s="96"/>
      <c r="L40" s="7">
        <v>282</v>
      </c>
      <c r="M40" s="7"/>
      <c r="N40" s="7"/>
    </row>
    <row r="41" spans="1:14">
      <c r="A41" s="12" t="s">
        <v>127</v>
      </c>
      <c r="B41" s="7">
        <v>15</v>
      </c>
      <c r="C41" s="12" t="s">
        <v>12</v>
      </c>
      <c r="D41" s="7">
        <v>337</v>
      </c>
      <c r="E41" s="7"/>
      <c r="F41" s="7"/>
      <c r="G41" s="8"/>
      <c r="H41" s="8">
        <v>305</v>
      </c>
      <c r="I41" s="7"/>
      <c r="J41" s="12"/>
      <c r="K41" s="96"/>
      <c r="L41" s="7">
        <v>308</v>
      </c>
      <c r="M41" s="7"/>
      <c r="N41" s="69"/>
    </row>
    <row r="42" spans="1:14" ht="21.6">
      <c r="A42" s="99" t="s">
        <v>128</v>
      </c>
      <c r="B42" s="7">
        <v>16</v>
      </c>
      <c r="C42" s="12" t="s">
        <v>12</v>
      </c>
      <c r="D42" s="7">
        <v>298</v>
      </c>
      <c r="E42" s="7"/>
      <c r="F42" s="7"/>
      <c r="G42" s="8"/>
      <c r="H42" s="8">
        <v>287</v>
      </c>
      <c r="I42" s="7"/>
      <c r="J42" s="12"/>
      <c r="K42" s="96"/>
      <c r="L42" s="7">
        <v>274</v>
      </c>
      <c r="M42" s="7"/>
      <c r="N42" s="7"/>
    </row>
    <row r="45" spans="1:14">
      <c r="A45" s="10"/>
      <c r="B45" s="10"/>
      <c r="C45" s="10" t="s">
        <v>208</v>
      </c>
      <c r="D45" s="13" t="s">
        <v>225</v>
      </c>
      <c r="E45" s="13" t="s">
        <v>225</v>
      </c>
      <c r="F45" s="13" t="s">
        <v>225</v>
      </c>
      <c r="G45" s="13" t="s">
        <v>225</v>
      </c>
      <c r="H45" s="13" t="s">
        <v>225</v>
      </c>
      <c r="I45" s="13" t="s">
        <v>225</v>
      </c>
      <c r="J45" s="13" t="s">
        <v>225</v>
      </c>
      <c r="K45" s="13" t="s">
        <v>225</v>
      </c>
      <c r="L45" s="13" t="s">
        <v>225</v>
      </c>
      <c r="M45" s="13" t="s">
        <v>225</v>
      </c>
      <c r="N45" s="13" t="s">
        <v>225</v>
      </c>
    </row>
    <row r="46" spans="1:14">
      <c r="A46" s="5" t="s">
        <v>226</v>
      </c>
      <c r="B46" s="10"/>
      <c r="C46" s="10"/>
      <c r="D46" s="5" t="s">
        <v>211</v>
      </c>
      <c r="E46" s="5" t="s">
        <v>212</v>
      </c>
      <c r="F46" s="5" t="s">
        <v>213</v>
      </c>
      <c r="G46" s="5" t="s">
        <v>214</v>
      </c>
      <c r="H46" s="5" t="s">
        <v>215</v>
      </c>
      <c r="I46" s="5" t="s">
        <v>217</v>
      </c>
      <c r="J46" s="5" t="s">
        <v>216</v>
      </c>
      <c r="K46" s="5" t="s">
        <v>218</v>
      </c>
      <c r="L46" s="5" t="s">
        <v>219</v>
      </c>
      <c r="M46" s="5" t="s">
        <v>220</v>
      </c>
      <c r="N46" s="5" t="s">
        <v>221</v>
      </c>
    </row>
    <row r="47" spans="1:14">
      <c r="A47" s="10" t="s">
        <v>222</v>
      </c>
      <c r="B47" s="10" t="s">
        <v>223</v>
      </c>
      <c r="C47" s="10" t="s">
        <v>8</v>
      </c>
      <c r="D47" s="2">
        <v>44298</v>
      </c>
      <c r="E47" s="2">
        <v>44299</v>
      </c>
      <c r="F47" s="2">
        <v>44300</v>
      </c>
      <c r="G47" s="2">
        <v>44301</v>
      </c>
      <c r="H47" s="2">
        <v>44302</v>
      </c>
      <c r="I47" s="2">
        <v>44303</v>
      </c>
      <c r="J47" s="2">
        <v>44304</v>
      </c>
      <c r="K47" s="2">
        <v>44305</v>
      </c>
      <c r="L47" s="2">
        <v>44306</v>
      </c>
      <c r="M47" s="2">
        <v>44307</v>
      </c>
      <c r="N47" s="2">
        <v>44308</v>
      </c>
    </row>
    <row r="48" spans="1:14">
      <c r="A48" s="12" t="s">
        <v>96</v>
      </c>
      <c r="B48" s="7">
        <v>1</v>
      </c>
      <c r="C48" s="12" t="s">
        <v>224</v>
      </c>
      <c r="D48" s="7">
        <v>65</v>
      </c>
      <c r="E48" s="7">
        <v>73</v>
      </c>
      <c r="F48" s="7">
        <v>50</v>
      </c>
      <c r="G48" s="8">
        <v>62</v>
      </c>
      <c r="H48" s="8">
        <v>54</v>
      </c>
      <c r="I48" s="7">
        <v>41</v>
      </c>
      <c r="J48" s="12">
        <v>33</v>
      </c>
      <c r="K48" s="96"/>
      <c r="L48" s="7">
        <v>61</v>
      </c>
      <c r="M48" s="7">
        <v>21</v>
      </c>
      <c r="N48" s="7">
        <v>31</v>
      </c>
    </row>
    <row r="49" spans="1:14" ht="21.6">
      <c r="A49" s="99" t="s">
        <v>99</v>
      </c>
      <c r="B49" s="7">
        <v>2</v>
      </c>
      <c r="C49" s="12" t="s">
        <v>224</v>
      </c>
      <c r="D49" s="7">
        <v>74</v>
      </c>
      <c r="E49" s="7">
        <v>36</v>
      </c>
      <c r="F49" s="7">
        <v>26</v>
      </c>
      <c r="G49" s="8">
        <v>40</v>
      </c>
      <c r="H49" s="8">
        <v>27</v>
      </c>
      <c r="I49" s="7">
        <v>22</v>
      </c>
      <c r="J49" s="12">
        <v>19</v>
      </c>
      <c r="K49" s="96"/>
      <c r="L49" s="7">
        <v>26</v>
      </c>
      <c r="M49" s="7">
        <v>15</v>
      </c>
      <c r="N49" s="7">
        <v>17</v>
      </c>
    </row>
    <row r="50" spans="1:14">
      <c r="A50" s="12" t="s">
        <v>102</v>
      </c>
      <c r="B50" s="7">
        <v>3</v>
      </c>
      <c r="C50" s="12" t="s">
        <v>12</v>
      </c>
      <c r="D50" s="40">
        <v>24</v>
      </c>
      <c r="E50" s="7">
        <v>9</v>
      </c>
      <c r="F50" s="7">
        <v>26</v>
      </c>
      <c r="G50" s="8">
        <v>21</v>
      </c>
      <c r="H50" s="41">
        <v>32</v>
      </c>
      <c r="I50" s="7">
        <v>25</v>
      </c>
      <c r="J50" s="12">
        <v>63</v>
      </c>
      <c r="K50" s="96"/>
      <c r="L50" s="7">
        <v>31</v>
      </c>
      <c r="M50" s="7">
        <v>24</v>
      </c>
      <c r="N50" s="40">
        <v>66</v>
      </c>
    </row>
    <row r="51" spans="1:14">
      <c r="A51" s="12" t="s">
        <v>105</v>
      </c>
      <c r="B51" s="7">
        <v>4</v>
      </c>
      <c r="C51" s="12" t="s">
        <v>12</v>
      </c>
      <c r="D51" s="40">
        <v>32</v>
      </c>
      <c r="E51" s="7">
        <v>40</v>
      </c>
      <c r="F51" s="7">
        <v>31</v>
      </c>
      <c r="G51" s="8">
        <v>26</v>
      </c>
      <c r="H51" s="41">
        <v>26</v>
      </c>
      <c r="I51" s="7">
        <v>27</v>
      </c>
      <c r="J51" s="107">
        <v>29</v>
      </c>
      <c r="K51" s="96"/>
      <c r="L51" s="106">
        <v>30</v>
      </c>
      <c r="M51" s="106">
        <v>24</v>
      </c>
      <c r="N51" s="40">
        <v>50</v>
      </c>
    </row>
    <row r="52" spans="1:14">
      <c r="A52" s="12" t="s">
        <v>108</v>
      </c>
      <c r="B52" s="7">
        <v>5</v>
      </c>
      <c r="C52" s="12" t="s">
        <v>12</v>
      </c>
      <c r="D52" s="40">
        <v>19</v>
      </c>
      <c r="E52" s="7">
        <v>57</v>
      </c>
      <c r="F52" s="42">
        <v>75</v>
      </c>
      <c r="G52" s="42">
        <v>75</v>
      </c>
      <c r="H52" s="41">
        <v>26</v>
      </c>
      <c r="I52" s="7">
        <v>21</v>
      </c>
      <c r="J52" s="107">
        <v>34</v>
      </c>
      <c r="K52" s="96"/>
      <c r="L52" s="106">
        <v>36</v>
      </c>
      <c r="M52" s="106">
        <v>41</v>
      </c>
      <c r="N52" s="40">
        <v>34</v>
      </c>
    </row>
    <row r="53" spans="1:14">
      <c r="A53" s="12" t="s">
        <v>110</v>
      </c>
      <c r="B53" s="7">
        <v>6</v>
      </c>
      <c r="C53" s="12" t="s">
        <v>12</v>
      </c>
      <c r="D53" s="40">
        <v>32</v>
      </c>
      <c r="E53" s="7">
        <v>29</v>
      </c>
      <c r="F53" s="7">
        <v>41</v>
      </c>
      <c r="G53" s="8">
        <v>47</v>
      </c>
      <c r="H53" s="41">
        <v>34</v>
      </c>
      <c r="I53" s="79">
        <v>38</v>
      </c>
      <c r="J53" s="12">
        <v>17</v>
      </c>
      <c r="K53" s="97"/>
      <c r="L53" s="7">
        <v>20</v>
      </c>
      <c r="M53" s="7">
        <v>30</v>
      </c>
      <c r="N53" s="40">
        <v>36</v>
      </c>
    </row>
    <row r="54" spans="1:14">
      <c r="A54" s="12" t="s">
        <v>113</v>
      </c>
      <c r="B54" s="7">
        <v>7</v>
      </c>
      <c r="C54" s="12" t="s">
        <v>12</v>
      </c>
      <c r="D54" s="7">
        <v>25</v>
      </c>
      <c r="E54" s="7">
        <v>22</v>
      </c>
      <c r="F54" s="7">
        <v>35</v>
      </c>
      <c r="G54" s="8">
        <v>36</v>
      </c>
      <c r="H54" s="8">
        <v>48</v>
      </c>
      <c r="I54" s="7">
        <v>32</v>
      </c>
      <c r="J54" s="12">
        <v>23</v>
      </c>
      <c r="K54" s="96"/>
      <c r="L54" s="10">
        <v>41</v>
      </c>
      <c r="M54" s="7">
        <v>36</v>
      </c>
      <c r="N54" s="7">
        <v>34</v>
      </c>
    </row>
    <row r="55" spans="1:14">
      <c r="A55" s="12" t="s">
        <v>116</v>
      </c>
      <c r="B55" s="7">
        <v>8</v>
      </c>
      <c r="C55" s="12" t="s">
        <v>12</v>
      </c>
      <c r="D55" s="7">
        <v>27</v>
      </c>
      <c r="E55" s="7">
        <v>55</v>
      </c>
      <c r="F55" s="7">
        <v>66</v>
      </c>
      <c r="G55" s="104">
        <v>75</v>
      </c>
      <c r="H55" s="8">
        <v>72</v>
      </c>
      <c r="I55" s="80">
        <v>75</v>
      </c>
      <c r="J55" s="12">
        <v>75</v>
      </c>
      <c r="K55" s="98"/>
      <c r="L55" s="7">
        <v>75</v>
      </c>
      <c r="M55" s="7">
        <v>75</v>
      </c>
      <c r="N55" s="7">
        <v>75</v>
      </c>
    </row>
    <row r="56" spans="1:14">
      <c r="A56" s="12" t="s">
        <v>119</v>
      </c>
      <c r="B56" s="7">
        <v>9</v>
      </c>
      <c r="C56" s="12" t="s">
        <v>224</v>
      </c>
      <c r="D56" s="7">
        <v>13</v>
      </c>
      <c r="E56" s="7">
        <v>12</v>
      </c>
      <c r="F56" s="7">
        <v>14</v>
      </c>
      <c r="G56" s="8">
        <v>24</v>
      </c>
      <c r="H56" s="8">
        <v>67</v>
      </c>
      <c r="I56" s="106">
        <v>7</v>
      </c>
      <c r="J56" s="107">
        <v>5</v>
      </c>
      <c r="K56" s="96"/>
      <c r="L56" s="106">
        <v>15</v>
      </c>
      <c r="M56" s="106">
        <v>20</v>
      </c>
      <c r="N56" s="7">
        <v>14</v>
      </c>
    </row>
    <row r="57" spans="1:14">
      <c r="A57" s="12" t="s">
        <v>122</v>
      </c>
      <c r="B57" s="7">
        <v>10</v>
      </c>
      <c r="C57" s="12" t="s">
        <v>224</v>
      </c>
      <c r="D57" s="67">
        <v>43</v>
      </c>
      <c r="E57" s="7">
        <v>36</v>
      </c>
      <c r="F57" s="7">
        <v>42</v>
      </c>
      <c r="G57" s="8">
        <v>16</v>
      </c>
      <c r="H57" s="8">
        <v>38</v>
      </c>
      <c r="I57" s="7">
        <v>14</v>
      </c>
      <c r="J57" s="12">
        <v>9</v>
      </c>
      <c r="K57" s="96"/>
      <c r="L57" s="7">
        <v>17</v>
      </c>
      <c r="M57" s="7">
        <v>8</v>
      </c>
      <c r="N57" s="7">
        <v>6</v>
      </c>
    </row>
    <row r="58" spans="1:14">
      <c r="A58" s="12" t="s">
        <v>123</v>
      </c>
      <c r="B58" s="7">
        <v>11</v>
      </c>
      <c r="C58" s="12" t="s">
        <v>12</v>
      </c>
      <c r="D58" s="7">
        <v>23</v>
      </c>
      <c r="E58" s="7">
        <v>39</v>
      </c>
      <c r="F58" s="7">
        <v>50</v>
      </c>
      <c r="G58" s="7">
        <v>56</v>
      </c>
      <c r="H58" s="7">
        <v>45</v>
      </c>
      <c r="I58" s="81">
        <v>31</v>
      </c>
      <c r="J58" s="12">
        <v>18</v>
      </c>
      <c r="K58" s="96"/>
      <c r="L58" s="7">
        <v>41</v>
      </c>
      <c r="M58" s="7">
        <v>47</v>
      </c>
      <c r="N58" s="7">
        <v>54</v>
      </c>
    </row>
    <row r="59" spans="1:14">
      <c r="A59" s="12" t="s">
        <v>124</v>
      </c>
      <c r="B59" s="7">
        <v>12</v>
      </c>
      <c r="C59" s="12" t="s">
        <v>12</v>
      </c>
      <c r="D59" s="69">
        <v>32</v>
      </c>
      <c r="E59" s="7">
        <v>53</v>
      </c>
      <c r="F59" s="7">
        <v>27</v>
      </c>
      <c r="G59" s="8">
        <v>22</v>
      </c>
      <c r="H59" s="8">
        <v>17</v>
      </c>
      <c r="I59" s="7">
        <v>18</v>
      </c>
      <c r="J59" s="12">
        <v>22</v>
      </c>
      <c r="K59" s="96"/>
      <c r="L59" s="7">
        <v>26</v>
      </c>
      <c r="M59" s="7">
        <v>32</v>
      </c>
      <c r="N59" s="7">
        <v>37</v>
      </c>
    </row>
    <row r="60" spans="1:14">
      <c r="A60" s="12" t="s">
        <v>125</v>
      </c>
      <c r="B60" s="7">
        <v>13</v>
      </c>
      <c r="C60" s="12" t="s">
        <v>12</v>
      </c>
      <c r="D60" s="7">
        <v>35</v>
      </c>
      <c r="E60" s="7">
        <v>32</v>
      </c>
      <c r="F60" s="7">
        <v>32</v>
      </c>
      <c r="G60" s="8">
        <v>36</v>
      </c>
      <c r="H60" s="8">
        <v>36</v>
      </c>
      <c r="I60" s="7">
        <v>6</v>
      </c>
      <c r="J60" s="12">
        <v>75</v>
      </c>
      <c r="K60" s="96"/>
      <c r="L60" s="7">
        <v>60</v>
      </c>
      <c r="M60" s="7">
        <v>63</v>
      </c>
      <c r="N60" s="7">
        <v>52</v>
      </c>
    </row>
    <row r="61" spans="1:14" ht="21.6">
      <c r="A61" s="99" t="s">
        <v>126</v>
      </c>
      <c r="B61" s="7">
        <v>14</v>
      </c>
      <c r="C61" s="12" t="s">
        <v>12</v>
      </c>
      <c r="D61" s="7">
        <v>42</v>
      </c>
      <c r="E61" s="7">
        <v>32</v>
      </c>
      <c r="F61" s="7">
        <v>27</v>
      </c>
      <c r="G61" s="8">
        <v>29</v>
      </c>
      <c r="H61" s="8">
        <v>52</v>
      </c>
      <c r="I61" s="7">
        <v>73</v>
      </c>
      <c r="J61" s="12">
        <v>43</v>
      </c>
      <c r="K61" s="96"/>
      <c r="L61" s="7">
        <v>59</v>
      </c>
      <c r="M61" s="7">
        <v>67</v>
      </c>
      <c r="N61" s="7">
        <v>58</v>
      </c>
    </row>
    <row r="62" spans="1:14">
      <c r="A62" s="12" t="s">
        <v>127</v>
      </c>
      <c r="B62" s="7">
        <v>15</v>
      </c>
      <c r="C62" s="12" t="s">
        <v>12</v>
      </c>
      <c r="D62" s="7">
        <v>49</v>
      </c>
      <c r="E62" s="7">
        <v>50</v>
      </c>
      <c r="F62" s="7">
        <v>75</v>
      </c>
      <c r="G62" s="8">
        <v>75</v>
      </c>
      <c r="H62" s="8">
        <v>75</v>
      </c>
      <c r="I62" s="7">
        <v>75</v>
      </c>
      <c r="J62" s="12">
        <v>75</v>
      </c>
      <c r="K62" s="96"/>
      <c r="L62" s="7">
        <v>75</v>
      </c>
      <c r="M62" s="7">
        <v>55</v>
      </c>
      <c r="N62" s="69">
        <v>51</v>
      </c>
    </row>
    <row r="63" spans="1:14" ht="21.6">
      <c r="A63" s="99" t="s">
        <v>128</v>
      </c>
      <c r="B63" s="7">
        <v>16</v>
      </c>
      <c r="C63" s="12" t="s">
        <v>12</v>
      </c>
      <c r="D63" s="7">
        <v>15</v>
      </c>
      <c r="E63" s="8">
        <v>74</v>
      </c>
      <c r="F63" s="102">
        <v>75</v>
      </c>
      <c r="G63" s="8">
        <v>75</v>
      </c>
      <c r="H63" s="8">
        <v>75</v>
      </c>
      <c r="I63" s="7">
        <v>75</v>
      </c>
      <c r="J63" s="12">
        <v>65</v>
      </c>
      <c r="K63" s="96"/>
      <c r="L63" s="7">
        <v>62</v>
      </c>
      <c r="M63" s="7">
        <v>71</v>
      </c>
      <c r="N63" s="7">
        <v>75</v>
      </c>
    </row>
    <row r="66" spans="1:14">
      <c r="A66" s="10"/>
      <c r="B66" s="10"/>
      <c r="C66" s="10" t="s">
        <v>208</v>
      </c>
      <c r="D66" s="13" t="s">
        <v>225</v>
      </c>
      <c r="E66" s="13" t="s">
        <v>225</v>
      </c>
      <c r="F66" s="13" t="s">
        <v>225</v>
      </c>
      <c r="G66" s="13" t="s">
        <v>225</v>
      </c>
      <c r="H66" s="13" t="s">
        <v>225</v>
      </c>
      <c r="I66" s="13" t="s">
        <v>225</v>
      </c>
      <c r="J66" s="13" t="s">
        <v>225</v>
      </c>
      <c r="K66" s="13" t="s">
        <v>225</v>
      </c>
      <c r="L66" s="13" t="s">
        <v>225</v>
      </c>
      <c r="M66" s="13" t="s">
        <v>225</v>
      </c>
      <c r="N66" s="13" t="s">
        <v>225</v>
      </c>
    </row>
    <row r="67" spans="1:14">
      <c r="A67" s="5" t="s">
        <v>228</v>
      </c>
      <c r="B67" s="10"/>
      <c r="C67" s="10"/>
      <c r="D67" s="5" t="s">
        <v>211</v>
      </c>
      <c r="E67" s="5" t="s">
        <v>212</v>
      </c>
      <c r="F67" s="5" t="s">
        <v>213</v>
      </c>
      <c r="G67" s="5" t="s">
        <v>214</v>
      </c>
      <c r="H67" s="5" t="s">
        <v>215</v>
      </c>
      <c r="I67" s="5" t="s">
        <v>217</v>
      </c>
      <c r="J67" s="5" t="s">
        <v>216</v>
      </c>
      <c r="K67" s="5" t="s">
        <v>218</v>
      </c>
      <c r="L67" s="5" t="s">
        <v>219</v>
      </c>
      <c r="M67" s="5" t="s">
        <v>220</v>
      </c>
      <c r="N67" s="5" t="s">
        <v>221</v>
      </c>
    </row>
    <row r="68" spans="1:14">
      <c r="A68" s="10" t="s">
        <v>222</v>
      </c>
      <c r="B68" s="10" t="s">
        <v>223</v>
      </c>
      <c r="C68" s="10" t="s">
        <v>8</v>
      </c>
      <c r="D68" s="2">
        <v>44298</v>
      </c>
      <c r="E68" s="2">
        <v>44299</v>
      </c>
      <c r="F68" s="2">
        <v>44300</v>
      </c>
      <c r="G68" s="2">
        <v>44301</v>
      </c>
      <c r="H68" s="2">
        <v>44302</v>
      </c>
      <c r="I68" s="2">
        <v>44303</v>
      </c>
      <c r="J68" s="2">
        <v>44304</v>
      </c>
      <c r="K68" s="2">
        <v>44305</v>
      </c>
      <c r="L68" s="2">
        <v>44306</v>
      </c>
      <c r="M68" s="2">
        <v>44307</v>
      </c>
      <c r="N68" s="2">
        <v>44308</v>
      </c>
    </row>
    <row r="69" spans="1:14">
      <c r="A69" s="12" t="s">
        <v>96</v>
      </c>
      <c r="B69" s="7">
        <v>1</v>
      </c>
      <c r="C69" s="12" t="s">
        <v>224</v>
      </c>
      <c r="D69" s="7">
        <v>103</v>
      </c>
      <c r="E69" s="7">
        <v>160</v>
      </c>
      <c r="F69" s="7">
        <v>103</v>
      </c>
      <c r="G69" s="8">
        <v>96</v>
      </c>
      <c r="H69" s="8">
        <v>72</v>
      </c>
      <c r="I69" s="7">
        <v>61</v>
      </c>
      <c r="J69" s="12">
        <v>41</v>
      </c>
      <c r="K69" s="96"/>
      <c r="L69" s="7">
        <v>84</v>
      </c>
      <c r="M69" s="7">
        <v>24</v>
      </c>
      <c r="N69" s="7">
        <v>34</v>
      </c>
    </row>
    <row r="70" spans="1:14" ht="21.6">
      <c r="A70" s="99" t="s">
        <v>99</v>
      </c>
      <c r="B70" s="7">
        <v>2</v>
      </c>
      <c r="C70" s="12" t="s">
        <v>224</v>
      </c>
      <c r="D70" s="7">
        <v>172</v>
      </c>
      <c r="E70" s="7">
        <v>109</v>
      </c>
      <c r="F70" s="7">
        <v>57</v>
      </c>
      <c r="G70" s="8">
        <v>92</v>
      </c>
      <c r="H70" s="8">
        <v>38</v>
      </c>
      <c r="I70" s="7">
        <v>34</v>
      </c>
      <c r="J70" s="12">
        <v>26</v>
      </c>
      <c r="K70" s="96"/>
      <c r="L70" s="7">
        <v>43</v>
      </c>
      <c r="M70" s="7">
        <v>30</v>
      </c>
      <c r="N70" s="7">
        <v>19</v>
      </c>
    </row>
    <row r="71" spans="1:14">
      <c r="A71" s="12" t="s">
        <v>102</v>
      </c>
      <c r="B71" s="7">
        <v>3</v>
      </c>
      <c r="C71" s="12" t="s">
        <v>12</v>
      </c>
      <c r="D71" s="40">
        <v>29</v>
      </c>
      <c r="E71" s="7">
        <v>12</v>
      </c>
      <c r="F71" s="7">
        <v>34</v>
      </c>
      <c r="G71" s="8">
        <v>26</v>
      </c>
      <c r="H71" s="40">
        <v>42</v>
      </c>
      <c r="I71" s="7">
        <v>35</v>
      </c>
      <c r="J71" s="12">
        <v>159</v>
      </c>
      <c r="K71" s="96"/>
      <c r="L71" s="7">
        <v>41</v>
      </c>
      <c r="M71" s="7">
        <v>28</v>
      </c>
      <c r="N71" s="40">
        <v>80</v>
      </c>
    </row>
    <row r="72" spans="1:14">
      <c r="A72" s="12" t="s">
        <v>105</v>
      </c>
      <c r="B72" s="7">
        <v>4</v>
      </c>
      <c r="C72" s="12" t="s">
        <v>12</v>
      </c>
      <c r="D72" s="40">
        <v>53</v>
      </c>
      <c r="E72" s="7">
        <v>73</v>
      </c>
      <c r="F72" s="7">
        <v>51</v>
      </c>
      <c r="G72" s="8">
        <v>36</v>
      </c>
      <c r="H72" s="40">
        <v>38</v>
      </c>
      <c r="I72" s="7">
        <v>51</v>
      </c>
      <c r="J72" s="107">
        <v>52</v>
      </c>
      <c r="K72" s="96"/>
      <c r="L72" s="106">
        <v>57</v>
      </c>
      <c r="M72" s="106">
        <v>50</v>
      </c>
      <c r="N72" s="40">
        <v>80</v>
      </c>
    </row>
    <row r="73" spans="1:14">
      <c r="A73" s="12" t="s">
        <v>108</v>
      </c>
      <c r="B73" s="7">
        <v>5</v>
      </c>
      <c r="C73" s="12" t="s">
        <v>12</v>
      </c>
      <c r="D73" s="40">
        <v>31</v>
      </c>
      <c r="E73" s="7">
        <v>198</v>
      </c>
      <c r="F73" s="42">
        <v>308</v>
      </c>
      <c r="G73" s="42">
        <v>380</v>
      </c>
      <c r="H73" s="40">
        <v>118</v>
      </c>
      <c r="I73" s="7">
        <v>71</v>
      </c>
      <c r="J73" s="107">
        <v>95</v>
      </c>
      <c r="K73" s="96"/>
      <c r="L73" s="106">
        <v>63</v>
      </c>
      <c r="M73" s="106">
        <v>72</v>
      </c>
      <c r="N73" s="40">
        <v>80</v>
      </c>
    </row>
    <row r="74" spans="1:14">
      <c r="A74" s="12" t="s">
        <v>110</v>
      </c>
      <c r="B74" s="7">
        <v>6</v>
      </c>
      <c r="C74" s="12" t="s">
        <v>12</v>
      </c>
      <c r="D74" s="40">
        <v>49</v>
      </c>
      <c r="E74" s="7">
        <v>48</v>
      </c>
      <c r="F74" s="7">
        <v>52</v>
      </c>
      <c r="G74" s="8">
        <v>65</v>
      </c>
      <c r="H74" s="40">
        <v>42</v>
      </c>
      <c r="I74" s="79">
        <v>49</v>
      </c>
      <c r="J74" s="12">
        <v>21</v>
      </c>
      <c r="K74" s="97"/>
      <c r="L74" s="7">
        <v>39</v>
      </c>
      <c r="M74" s="7">
        <v>40</v>
      </c>
      <c r="N74" s="40">
        <v>49</v>
      </c>
    </row>
    <row r="75" spans="1:14">
      <c r="A75" s="12" t="s">
        <v>113</v>
      </c>
      <c r="B75" s="7">
        <v>7</v>
      </c>
      <c r="C75" s="12" t="s">
        <v>12</v>
      </c>
      <c r="D75" s="7">
        <v>46</v>
      </c>
      <c r="E75" s="7">
        <v>41</v>
      </c>
      <c r="F75" s="7">
        <v>55</v>
      </c>
      <c r="G75" s="8">
        <v>70</v>
      </c>
      <c r="H75" s="8">
        <v>72</v>
      </c>
      <c r="I75" s="7">
        <v>59</v>
      </c>
      <c r="J75" s="12">
        <v>36</v>
      </c>
      <c r="K75" s="96"/>
      <c r="L75" s="10">
        <v>58</v>
      </c>
      <c r="M75" s="7">
        <v>51</v>
      </c>
      <c r="N75" s="7">
        <v>53</v>
      </c>
    </row>
    <row r="76" spans="1:14">
      <c r="A76" s="12" t="s">
        <v>116</v>
      </c>
      <c r="B76" s="7">
        <v>8</v>
      </c>
      <c r="C76" s="12" t="s">
        <v>12</v>
      </c>
      <c r="D76" s="7">
        <v>49</v>
      </c>
      <c r="E76" s="7">
        <v>102</v>
      </c>
      <c r="F76" s="7">
        <v>127</v>
      </c>
      <c r="G76" s="104">
        <v>138</v>
      </c>
      <c r="H76" s="8">
        <v>128</v>
      </c>
      <c r="I76" s="80">
        <v>143</v>
      </c>
      <c r="J76" s="12">
        <v>156</v>
      </c>
      <c r="K76" s="98"/>
      <c r="L76" s="7">
        <v>146</v>
      </c>
      <c r="M76" s="7">
        <v>172</v>
      </c>
      <c r="N76" s="7">
        <v>172</v>
      </c>
    </row>
    <row r="77" spans="1:14">
      <c r="A77" s="12" t="s">
        <v>119</v>
      </c>
      <c r="B77" s="7">
        <v>9</v>
      </c>
      <c r="C77" s="12" t="s">
        <v>224</v>
      </c>
      <c r="D77" s="7">
        <v>19</v>
      </c>
      <c r="E77" s="7">
        <v>16</v>
      </c>
      <c r="F77" s="7">
        <v>15</v>
      </c>
      <c r="G77" s="8">
        <v>34</v>
      </c>
      <c r="H77" s="8">
        <v>90</v>
      </c>
      <c r="I77" s="106">
        <v>9</v>
      </c>
      <c r="J77" s="107">
        <v>6</v>
      </c>
      <c r="K77" s="96"/>
      <c r="L77" s="106">
        <v>19</v>
      </c>
      <c r="M77" s="106">
        <v>27</v>
      </c>
      <c r="N77" s="7">
        <v>15</v>
      </c>
    </row>
    <row r="78" spans="1:14">
      <c r="A78" s="12" t="s">
        <v>122</v>
      </c>
      <c r="B78" s="7">
        <v>10</v>
      </c>
      <c r="C78" s="12" t="s">
        <v>224</v>
      </c>
      <c r="D78" s="67">
        <v>66</v>
      </c>
      <c r="E78" s="7">
        <v>82</v>
      </c>
      <c r="F78" s="7">
        <v>157</v>
      </c>
      <c r="G78" s="8">
        <v>40</v>
      </c>
      <c r="H78" s="8">
        <v>104</v>
      </c>
      <c r="I78" s="7">
        <v>23</v>
      </c>
      <c r="J78" s="12">
        <v>17</v>
      </c>
      <c r="K78" s="96"/>
      <c r="L78" s="7">
        <v>23</v>
      </c>
      <c r="M78" s="7">
        <v>18</v>
      </c>
      <c r="N78" s="7">
        <v>9</v>
      </c>
    </row>
    <row r="79" spans="1:14">
      <c r="A79" s="12" t="s">
        <v>123</v>
      </c>
      <c r="B79" s="7">
        <v>11</v>
      </c>
      <c r="C79" s="12" t="s">
        <v>12</v>
      </c>
      <c r="D79" s="7">
        <v>34</v>
      </c>
      <c r="E79" s="7">
        <v>89</v>
      </c>
      <c r="F79" s="7">
        <v>142</v>
      </c>
      <c r="G79" s="7">
        <v>172</v>
      </c>
      <c r="H79" s="7">
        <v>63</v>
      </c>
      <c r="I79" s="81">
        <v>64</v>
      </c>
      <c r="J79" s="12">
        <v>32</v>
      </c>
      <c r="K79" s="96"/>
      <c r="L79" s="7">
        <v>142</v>
      </c>
      <c r="M79" s="7">
        <v>97</v>
      </c>
      <c r="N79" s="7">
        <v>144</v>
      </c>
    </row>
    <row r="80" spans="1:14">
      <c r="A80" s="12" t="s">
        <v>124</v>
      </c>
      <c r="B80" s="7">
        <v>12</v>
      </c>
      <c r="C80" s="12" t="s">
        <v>12</v>
      </c>
      <c r="D80" s="69">
        <v>84</v>
      </c>
      <c r="E80" s="7">
        <v>83</v>
      </c>
      <c r="F80" s="7">
        <v>58</v>
      </c>
      <c r="G80" s="8">
        <v>42</v>
      </c>
      <c r="H80" s="8">
        <v>43</v>
      </c>
      <c r="I80" s="7">
        <v>32</v>
      </c>
      <c r="J80" s="12">
        <v>85</v>
      </c>
      <c r="K80" s="96"/>
      <c r="L80" s="7">
        <v>50</v>
      </c>
      <c r="M80" s="7">
        <v>52</v>
      </c>
      <c r="N80" s="7">
        <v>69</v>
      </c>
    </row>
    <row r="81" spans="1:14">
      <c r="A81" s="12" t="s">
        <v>125</v>
      </c>
      <c r="B81" s="7">
        <v>13</v>
      </c>
      <c r="C81" s="12" t="s">
        <v>12</v>
      </c>
      <c r="D81" s="7">
        <v>60</v>
      </c>
      <c r="E81" s="7">
        <v>40</v>
      </c>
      <c r="F81" s="7">
        <v>42</v>
      </c>
      <c r="G81" s="8">
        <v>54</v>
      </c>
      <c r="H81" s="8">
        <v>54</v>
      </c>
      <c r="I81" s="7">
        <v>119</v>
      </c>
      <c r="J81" s="12">
        <v>135</v>
      </c>
      <c r="K81" s="96"/>
      <c r="L81" s="7">
        <v>95</v>
      </c>
      <c r="M81" s="7">
        <v>87</v>
      </c>
      <c r="N81" s="7">
        <v>108</v>
      </c>
    </row>
    <row r="82" spans="1:14" ht="21.6">
      <c r="A82" s="99" t="s">
        <v>126</v>
      </c>
      <c r="B82" s="7">
        <v>14</v>
      </c>
      <c r="C82" s="12" t="s">
        <v>12</v>
      </c>
      <c r="D82" s="7">
        <v>78</v>
      </c>
      <c r="E82" s="7">
        <v>69</v>
      </c>
      <c r="F82" s="7">
        <v>45</v>
      </c>
      <c r="G82" s="8">
        <v>65</v>
      </c>
      <c r="H82" s="8">
        <v>140</v>
      </c>
      <c r="I82" s="7">
        <v>211</v>
      </c>
      <c r="J82" s="12">
        <v>110</v>
      </c>
      <c r="K82" s="96"/>
      <c r="L82" s="7">
        <v>121</v>
      </c>
      <c r="M82" s="7">
        <v>123</v>
      </c>
      <c r="N82" s="7">
        <v>133</v>
      </c>
    </row>
    <row r="83" spans="1:14">
      <c r="A83" s="12" t="s">
        <v>127</v>
      </c>
      <c r="B83" s="7">
        <v>15</v>
      </c>
      <c r="C83" s="12" t="s">
        <v>12</v>
      </c>
      <c r="D83" s="7">
        <v>137</v>
      </c>
      <c r="E83" s="7">
        <v>293</v>
      </c>
      <c r="F83" s="7">
        <v>376</v>
      </c>
      <c r="G83" s="8">
        <v>489</v>
      </c>
      <c r="H83" s="8">
        <v>329</v>
      </c>
      <c r="I83" s="7">
        <v>404</v>
      </c>
      <c r="J83" s="12">
        <v>300</v>
      </c>
      <c r="K83" s="96"/>
      <c r="L83" s="7">
        <v>244</v>
      </c>
      <c r="M83" s="7">
        <v>207</v>
      </c>
      <c r="N83" s="69">
        <v>167</v>
      </c>
    </row>
    <row r="84" spans="1:14" ht="21.6">
      <c r="A84" s="99" t="s">
        <v>128</v>
      </c>
      <c r="B84" s="7">
        <v>16</v>
      </c>
      <c r="C84" s="12" t="s">
        <v>12</v>
      </c>
      <c r="D84" s="7">
        <v>19</v>
      </c>
      <c r="E84" s="7">
        <v>149</v>
      </c>
      <c r="F84" s="7">
        <v>184</v>
      </c>
      <c r="G84" s="8">
        <v>182</v>
      </c>
      <c r="H84" s="8">
        <v>227</v>
      </c>
      <c r="I84" s="7">
        <v>168</v>
      </c>
      <c r="J84" s="12">
        <v>124</v>
      </c>
      <c r="K84" s="96"/>
      <c r="L84" s="7">
        <v>109</v>
      </c>
      <c r="M84" s="7">
        <v>122</v>
      </c>
      <c r="N84" s="7">
        <v>161</v>
      </c>
    </row>
    <row r="87" spans="1:14">
      <c r="A87" s="10"/>
      <c r="B87" s="10"/>
      <c r="C87" s="10" t="s">
        <v>208</v>
      </c>
      <c r="D87" s="13" t="s">
        <v>225</v>
      </c>
      <c r="E87" s="13" t="s">
        <v>225</v>
      </c>
      <c r="F87" s="13" t="s">
        <v>225</v>
      </c>
      <c r="G87" s="13" t="s">
        <v>225</v>
      </c>
      <c r="H87" s="13" t="s">
        <v>225</v>
      </c>
      <c r="I87" s="13" t="s">
        <v>225</v>
      </c>
      <c r="J87" s="13" t="s">
        <v>225</v>
      </c>
      <c r="K87" s="13" t="s">
        <v>225</v>
      </c>
      <c r="L87" s="13" t="s">
        <v>225</v>
      </c>
      <c r="M87" s="13" t="s">
        <v>225</v>
      </c>
      <c r="N87" s="13" t="s">
        <v>225</v>
      </c>
    </row>
    <row r="88" spans="1:14">
      <c r="A88" s="5" t="s">
        <v>229</v>
      </c>
      <c r="B88" s="10"/>
      <c r="C88" s="10"/>
      <c r="D88" s="5" t="s">
        <v>211</v>
      </c>
      <c r="E88" s="5" t="s">
        <v>212</v>
      </c>
      <c r="F88" s="5" t="s">
        <v>213</v>
      </c>
      <c r="G88" s="5" t="s">
        <v>214</v>
      </c>
      <c r="H88" s="5" t="s">
        <v>215</v>
      </c>
      <c r="I88" s="5" t="s">
        <v>217</v>
      </c>
      <c r="J88" s="5" t="s">
        <v>216</v>
      </c>
      <c r="K88" s="5" t="s">
        <v>218</v>
      </c>
      <c r="L88" s="5" t="s">
        <v>219</v>
      </c>
      <c r="M88" s="5" t="s">
        <v>220</v>
      </c>
      <c r="N88" s="5" t="s">
        <v>221</v>
      </c>
    </row>
    <row r="89" spans="1:14">
      <c r="A89" s="10" t="s">
        <v>222</v>
      </c>
      <c r="B89" s="10" t="s">
        <v>223</v>
      </c>
      <c r="C89" s="10" t="s">
        <v>8</v>
      </c>
      <c r="D89" s="2">
        <v>44298</v>
      </c>
      <c r="E89" s="2">
        <v>44299</v>
      </c>
      <c r="F89" s="2">
        <v>44300</v>
      </c>
      <c r="G89" s="2">
        <v>44301</v>
      </c>
      <c r="H89" s="2">
        <v>44302</v>
      </c>
      <c r="I89" s="2">
        <v>44303</v>
      </c>
      <c r="J89" s="2">
        <v>44304</v>
      </c>
      <c r="K89" s="2">
        <v>44305</v>
      </c>
      <c r="L89" s="2">
        <v>44306</v>
      </c>
      <c r="M89" s="2">
        <v>44307</v>
      </c>
      <c r="N89" s="2">
        <v>44308</v>
      </c>
    </row>
    <row r="90" spans="1:14">
      <c r="A90" s="12" t="s">
        <v>96</v>
      </c>
      <c r="B90" s="7">
        <v>1</v>
      </c>
      <c r="C90" s="12" t="s">
        <v>224</v>
      </c>
      <c r="D90" s="7">
        <v>44</v>
      </c>
      <c r="E90" s="7">
        <v>79</v>
      </c>
      <c r="F90" s="7">
        <v>29</v>
      </c>
      <c r="G90" s="8">
        <v>32</v>
      </c>
      <c r="H90" s="8">
        <v>28</v>
      </c>
      <c r="I90" s="7">
        <v>19</v>
      </c>
      <c r="J90" s="12">
        <v>7</v>
      </c>
      <c r="K90" s="96"/>
      <c r="L90" s="7">
        <v>25</v>
      </c>
      <c r="M90" s="7">
        <v>11</v>
      </c>
      <c r="N90" s="7">
        <v>9</v>
      </c>
    </row>
    <row r="91" spans="1:14" ht="21.6">
      <c r="A91" s="99" t="s">
        <v>99</v>
      </c>
      <c r="B91" s="7">
        <v>2</v>
      </c>
      <c r="C91" s="12" t="s">
        <v>224</v>
      </c>
      <c r="D91" s="7">
        <v>82</v>
      </c>
      <c r="E91" s="7">
        <v>29</v>
      </c>
      <c r="F91" s="7">
        <v>31</v>
      </c>
      <c r="G91" s="8">
        <v>23</v>
      </c>
      <c r="H91" s="8">
        <v>3</v>
      </c>
      <c r="I91" s="7">
        <v>7</v>
      </c>
      <c r="J91" s="12">
        <v>3</v>
      </c>
      <c r="K91" s="96"/>
      <c r="L91" s="7">
        <v>4</v>
      </c>
      <c r="M91" s="7">
        <v>7</v>
      </c>
      <c r="N91" s="7">
        <v>15</v>
      </c>
    </row>
    <row r="92" spans="1:14">
      <c r="A92" s="12" t="s">
        <v>102</v>
      </c>
      <c r="B92" s="7">
        <v>3</v>
      </c>
      <c r="C92" s="12" t="s">
        <v>12</v>
      </c>
      <c r="D92" s="40">
        <v>15</v>
      </c>
      <c r="E92" s="7">
        <v>17</v>
      </c>
      <c r="F92" s="7">
        <v>26</v>
      </c>
      <c r="G92" s="8">
        <v>25</v>
      </c>
      <c r="H92" s="40">
        <v>9</v>
      </c>
      <c r="I92" s="7">
        <v>4</v>
      </c>
      <c r="J92" s="12">
        <v>46</v>
      </c>
      <c r="K92" s="96"/>
      <c r="L92" s="7">
        <v>12</v>
      </c>
      <c r="M92" s="7">
        <v>3</v>
      </c>
      <c r="N92" s="40">
        <v>10</v>
      </c>
    </row>
    <row r="93" spans="1:14">
      <c r="A93" s="12" t="s">
        <v>105</v>
      </c>
      <c r="B93" s="7">
        <v>4</v>
      </c>
      <c r="C93" s="12" t="s">
        <v>12</v>
      </c>
      <c r="D93" s="40">
        <v>39</v>
      </c>
      <c r="E93" s="7">
        <v>7</v>
      </c>
      <c r="F93" s="7">
        <v>21</v>
      </c>
      <c r="G93" s="8">
        <v>6</v>
      </c>
      <c r="H93" s="40">
        <v>17</v>
      </c>
      <c r="I93" s="7">
        <v>17</v>
      </c>
      <c r="J93" s="107">
        <v>4</v>
      </c>
      <c r="K93" s="96"/>
      <c r="L93" s="106">
        <v>9</v>
      </c>
      <c r="M93" s="106">
        <v>10</v>
      </c>
      <c r="N93" s="40">
        <v>2</v>
      </c>
    </row>
    <row r="94" spans="1:14">
      <c r="A94" s="12" t="s">
        <v>108</v>
      </c>
      <c r="B94" s="7">
        <v>5</v>
      </c>
      <c r="C94" s="12" t="s">
        <v>12</v>
      </c>
      <c r="D94" s="40">
        <v>8</v>
      </c>
      <c r="E94" s="7">
        <v>10</v>
      </c>
      <c r="F94" s="42">
        <v>6</v>
      </c>
      <c r="G94" s="42">
        <v>14</v>
      </c>
      <c r="H94" s="40">
        <v>11</v>
      </c>
      <c r="I94" s="7">
        <v>0</v>
      </c>
      <c r="J94" s="107">
        <v>3</v>
      </c>
      <c r="K94" s="96"/>
      <c r="L94" s="106">
        <v>8</v>
      </c>
      <c r="M94" s="106">
        <v>4</v>
      </c>
      <c r="N94" s="40">
        <v>9</v>
      </c>
    </row>
    <row r="95" spans="1:14">
      <c r="A95" s="12" t="s">
        <v>110</v>
      </c>
      <c r="B95" s="7">
        <v>6</v>
      </c>
      <c r="C95" s="12" t="s">
        <v>12</v>
      </c>
      <c r="D95" s="40">
        <v>27</v>
      </c>
      <c r="E95" s="7">
        <v>7</v>
      </c>
      <c r="F95" s="7">
        <v>12</v>
      </c>
      <c r="G95" s="8">
        <v>26</v>
      </c>
      <c r="H95" s="40">
        <v>23</v>
      </c>
      <c r="I95" s="79">
        <v>8</v>
      </c>
      <c r="J95" s="12">
        <v>2</v>
      </c>
      <c r="K95" s="97"/>
      <c r="L95" s="7">
        <v>8</v>
      </c>
      <c r="M95" s="7">
        <v>9</v>
      </c>
      <c r="N95" s="40">
        <v>12</v>
      </c>
    </row>
    <row r="96" spans="1:14">
      <c r="A96" s="12" t="s">
        <v>113</v>
      </c>
      <c r="B96" s="7">
        <v>7</v>
      </c>
      <c r="C96" s="12" t="s">
        <v>12</v>
      </c>
      <c r="D96" s="7">
        <v>3</v>
      </c>
      <c r="E96" s="7">
        <v>32</v>
      </c>
      <c r="F96" s="7">
        <v>12</v>
      </c>
      <c r="G96" s="8">
        <v>0</v>
      </c>
      <c r="H96" s="8">
        <v>17</v>
      </c>
      <c r="I96" s="7">
        <v>43</v>
      </c>
      <c r="J96" s="12">
        <v>9</v>
      </c>
      <c r="K96" s="96"/>
      <c r="L96" s="10">
        <v>27</v>
      </c>
      <c r="M96" s="7">
        <v>24</v>
      </c>
      <c r="N96" s="7">
        <v>13</v>
      </c>
    </row>
    <row r="97" spans="1:14">
      <c r="A97" s="12" t="s">
        <v>116</v>
      </c>
      <c r="B97" s="7">
        <v>8</v>
      </c>
      <c r="C97" s="12" t="s">
        <v>12</v>
      </c>
      <c r="D97" s="7">
        <v>17</v>
      </c>
      <c r="E97" s="7">
        <v>1</v>
      </c>
      <c r="F97" s="7">
        <v>0</v>
      </c>
      <c r="G97" s="104">
        <v>7</v>
      </c>
      <c r="H97" s="8">
        <v>0</v>
      </c>
      <c r="I97" s="80">
        <v>1</v>
      </c>
      <c r="J97" s="12">
        <v>2</v>
      </c>
      <c r="K97" s="98"/>
      <c r="L97" s="7">
        <v>4</v>
      </c>
      <c r="M97" s="7">
        <v>6</v>
      </c>
      <c r="N97" s="7">
        <v>5</v>
      </c>
    </row>
    <row r="98" spans="1:14">
      <c r="A98" s="12" t="s">
        <v>119</v>
      </c>
      <c r="B98" s="7">
        <v>9</v>
      </c>
      <c r="C98" s="12" t="s">
        <v>224</v>
      </c>
      <c r="D98" s="7">
        <v>11</v>
      </c>
      <c r="E98" s="7">
        <v>5</v>
      </c>
      <c r="F98" s="7">
        <v>23</v>
      </c>
      <c r="G98" s="8">
        <v>2</v>
      </c>
      <c r="H98" s="8">
        <v>9</v>
      </c>
      <c r="I98" s="106">
        <v>0</v>
      </c>
      <c r="J98" s="107">
        <v>4</v>
      </c>
      <c r="K98" s="96"/>
      <c r="L98" s="106">
        <v>9</v>
      </c>
      <c r="M98" s="106">
        <v>6</v>
      </c>
      <c r="N98" s="7">
        <v>2</v>
      </c>
    </row>
    <row r="99" spans="1:14">
      <c r="A99" s="12" t="s">
        <v>122</v>
      </c>
      <c r="B99" s="7">
        <v>10</v>
      </c>
      <c r="C99" s="12" t="s">
        <v>224</v>
      </c>
      <c r="D99" s="67">
        <v>21</v>
      </c>
      <c r="E99" s="7">
        <v>14</v>
      </c>
      <c r="F99" s="7">
        <v>12</v>
      </c>
      <c r="G99" s="8">
        <v>58</v>
      </c>
      <c r="H99" s="8">
        <v>9</v>
      </c>
      <c r="I99" s="7">
        <v>4</v>
      </c>
      <c r="J99" s="12">
        <v>3</v>
      </c>
      <c r="K99" s="96"/>
      <c r="L99" s="7">
        <v>4</v>
      </c>
      <c r="M99" s="7">
        <v>0</v>
      </c>
      <c r="N99" s="7">
        <v>4</v>
      </c>
    </row>
    <row r="100" spans="1:14">
      <c r="A100" s="12" t="s">
        <v>123</v>
      </c>
      <c r="B100" s="7">
        <v>11</v>
      </c>
      <c r="C100" s="12" t="s">
        <v>12</v>
      </c>
      <c r="D100" s="7">
        <v>15</v>
      </c>
      <c r="E100" s="7">
        <v>26</v>
      </c>
      <c r="F100" s="7">
        <v>34</v>
      </c>
      <c r="G100" s="7">
        <v>9</v>
      </c>
      <c r="H100" s="7">
        <v>3</v>
      </c>
      <c r="I100" s="81">
        <v>7</v>
      </c>
      <c r="J100" s="12">
        <v>5</v>
      </c>
      <c r="K100" s="96"/>
      <c r="L100" s="7">
        <v>15</v>
      </c>
      <c r="M100" s="7">
        <v>78</v>
      </c>
      <c r="N100" s="7">
        <v>6</v>
      </c>
    </row>
    <row r="101" spans="1:14">
      <c r="A101" s="12" t="s">
        <v>124</v>
      </c>
      <c r="B101" s="7">
        <v>12</v>
      </c>
      <c r="C101" s="12" t="s">
        <v>12</v>
      </c>
      <c r="D101" s="69">
        <v>25</v>
      </c>
      <c r="E101" s="7">
        <v>32</v>
      </c>
      <c r="F101" s="7">
        <v>17</v>
      </c>
      <c r="G101" s="8">
        <v>4</v>
      </c>
      <c r="H101" s="8">
        <v>43</v>
      </c>
      <c r="I101" s="7">
        <v>4</v>
      </c>
      <c r="J101" s="12">
        <v>2</v>
      </c>
      <c r="K101" s="96"/>
      <c r="L101" s="7">
        <v>8</v>
      </c>
      <c r="M101" s="7">
        <v>10</v>
      </c>
      <c r="N101" s="7">
        <v>7</v>
      </c>
    </row>
    <row r="102" spans="1:14">
      <c r="A102" s="12" t="s">
        <v>125</v>
      </c>
      <c r="B102" s="7">
        <v>13</v>
      </c>
      <c r="C102" s="12" t="s">
        <v>12</v>
      </c>
      <c r="D102" s="7">
        <v>9</v>
      </c>
      <c r="E102" s="7">
        <v>6</v>
      </c>
      <c r="F102" s="7">
        <v>1</v>
      </c>
      <c r="G102" s="8">
        <v>15</v>
      </c>
      <c r="H102" s="8">
        <v>14</v>
      </c>
      <c r="I102" s="7">
        <v>12</v>
      </c>
      <c r="J102" s="12">
        <v>8</v>
      </c>
      <c r="K102" s="96"/>
      <c r="L102" s="7">
        <v>3</v>
      </c>
      <c r="M102" s="7">
        <v>34</v>
      </c>
      <c r="N102" s="7">
        <v>9</v>
      </c>
    </row>
    <row r="103" spans="1:14" ht="21.6">
      <c r="A103" s="99" t="s">
        <v>126</v>
      </c>
      <c r="B103" s="7">
        <v>14</v>
      </c>
      <c r="C103" s="12" t="s">
        <v>12</v>
      </c>
      <c r="D103" s="7">
        <v>27</v>
      </c>
      <c r="E103" s="7">
        <v>20</v>
      </c>
      <c r="F103" s="7">
        <v>20</v>
      </c>
      <c r="G103" s="8">
        <v>17</v>
      </c>
      <c r="H103" s="8">
        <v>30</v>
      </c>
      <c r="I103" s="7">
        <v>85</v>
      </c>
      <c r="J103" s="12">
        <v>32</v>
      </c>
      <c r="K103" s="96"/>
      <c r="L103" s="7">
        <v>11</v>
      </c>
      <c r="M103" s="7">
        <v>20</v>
      </c>
      <c r="N103" s="7">
        <v>38</v>
      </c>
    </row>
    <row r="104" spans="1:14">
      <c r="A104" s="12" t="s">
        <v>127</v>
      </c>
      <c r="B104" s="7">
        <v>15</v>
      </c>
      <c r="C104" s="12" t="s">
        <v>12</v>
      </c>
      <c r="D104" s="7">
        <v>12</v>
      </c>
      <c r="E104" s="7">
        <v>342</v>
      </c>
      <c r="F104" s="7">
        <v>38</v>
      </c>
      <c r="G104" s="8">
        <v>28</v>
      </c>
      <c r="H104" s="8"/>
      <c r="I104" s="7">
        <v>7</v>
      </c>
      <c r="J104" s="12">
        <v>38</v>
      </c>
      <c r="K104" s="96"/>
      <c r="L104" s="7">
        <v>41</v>
      </c>
      <c r="M104" s="7">
        <v>32</v>
      </c>
      <c r="N104" s="69">
        <v>39</v>
      </c>
    </row>
    <row r="105" spans="1:14" ht="21.6">
      <c r="A105" s="99" t="s">
        <v>128</v>
      </c>
      <c r="B105" s="7">
        <v>16</v>
      </c>
      <c r="C105" s="12" t="s">
        <v>12</v>
      </c>
      <c r="D105" s="7">
        <v>5</v>
      </c>
      <c r="E105" s="7">
        <v>6</v>
      </c>
      <c r="F105" s="7">
        <v>153</v>
      </c>
      <c r="G105" s="8"/>
      <c r="H105" s="8"/>
      <c r="I105" s="7">
        <v>15</v>
      </c>
      <c r="J105" s="12">
        <v>22</v>
      </c>
      <c r="K105" s="96"/>
      <c r="L105" s="7">
        <v>3</v>
      </c>
      <c r="M105" s="7">
        <v>2</v>
      </c>
      <c r="N105" s="7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Z49"/>
  <sheetViews>
    <sheetView topLeftCell="A12" zoomScale="80" zoomScaleNormal="80" workbookViewId="0">
      <selection activeCell="D35" sqref="D35"/>
    </sheetView>
  </sheetViews>
  <sheetFormatPr defaultRowHeight="14.45"/>
  <cols>
    <col min="1" max="1" width="25.140625" customWidth="1"/>
    <col min="2" max="2" width="10.42578125" customWidth="1"/>
    <col min="4" max="13" width="9.7109375" bestFit="1" customWidth="1"/>
    <col min="14" max="14" width="13.140625" bestFit="1" customWidth="1"/>
    <col min="15" max="15" width="8.85546875" bestFit="1" customWidth="1"/>
    <col min="16" max="16" width="11" bestFit="1" customWidth="1"/>
    <col min="19" max="19" width="24.85546875" customWidth="1"/>
    <col min="22" max="31" width="9.7109375" bestFit="1" customWidth="1"/>
    <col min="32" max="32" width="13.140625" bestFit="1" customWidth="1"/>
    <col min="33" max="33" width="8.85546875" bestFit="1" customWidth="1"/>
    <col min="34" max="34" width="11" bestFit="1" customWidth="1"/>
    <col min="40" max="49" width="9.7109375" bestFit="1" customWidth="1"/>
    <col min="50" max="50" width="13.140625" bestFit="1" customWidth="1"/>
    <col min="51" max="51" width="12.28515625" bestFit="1" customWidth="1"/>
    <col min="52" max="52" width="11" bestFit="1" customWidth="1"/>
  </cols>
  <sheetData>
    <row r="2" spans="1:20">
      <c r="A2" t="s">
        <v>9</v>
      </c>
      <c r="S2" t="s">
        <v>9</v>
      </c>
    </row>
    <row r="3" spans="1:20">
      <c r="A3" t="s">
        <v>97</v>
      </c>
      <c r="B3" t="s">
        <v>98</v>
      </c>
      <c r="S3" t="s">
        <v>97</v>
      </c>
      <c r="T3" t="s">
        <v>98</v>
      </c>
    </row>
    <row r="4" spans="1:20">
      <c r="A4" t="s">
        <v>100</v>
      </c>
      <c r="B4" t="s">
        <v>101</v>
      </c>
      <c r="S4" t="s">
        <v>100</v>
      </c>
      <c r="T4" t="s">
        <v>101</v>
      </c>
    </row>
    <row r="5" spans="1:20">
      <c r="A5" t="s">
        <v>103</v>
      </c>
      <c r="B5" t="s">
        <v>104</v>
      </c>
      <c r="S5" t="s">
        <v>103</v>
      </c>
      <c r="T5" t="s">
        <v>104</v>
      </c>
    </row>
    <row r="6" spans="1:20">
      <c r="A6" t="s">
        <v>106</v>
      </c>
      <c r="B6" t="s">
        <v>107</v>
      </c>
      <c r="S6" t="s">
        <v>106</v>
      </c>
      <c r="T6" t="s">
        <v>107</v>
      </c>
    </row>
    <row r="7" spans="1:20">
      <c r="A7" t="s">
        <v>109</v>
      </c>
      <c r="B7" t="s">
        <v>83</v>
      </c>
      <c r="S7" t="s">
        <v>109</v>
      </c>
      <c r="T7" t="s">
        <v>83</v>
      </c>
    </row>
    <row r="8" spans="1:20">
      <c r="A8" t="s">
        <v>111</v>
      </c>
      <c r="B8" t="s">
        <v>112</v>
      </c>
      <c r="S8" t="s">
        <v>111</v>
      </c>
      <c r="T8" t="s">
        <v>112</v>
      </c>
    </row>
    <row r="9" spans="1:20">
      <c r="A9" t="s">
        <v>114</v>
      </c>
      <c r="B9" t="s">
        <v>115</v>
      </c>
      <c r="S9" t="s">
        <v>114</v>
      </c>
      <c r="T9" t="s">
        <v>115</v>
      </c>
    </row>
    <row r="10" spans="1:20">
      <c r="A10" t="s">
        <v>117</v>
      </c>
      <c r="B10" t="s">
        <v>118</v>
      </c>
      <c r="S10" t="s">
        <v>117</v>
      </c>
      <c r="T10" t="s">
        <v>118</v>
      </c>
    </row>
    <row r="11" spans="1:20">
      <c r="A11" t="s">
        <v>120</v>
      </c>
      <c r="B11" t="s">
        <v>121</v>
      </c>
      <c r="S11" t="s">
        <v>120</v>
      </c>
      <c r="T11" t="s">
        <v>121</v>
      </c>
    </row>
    <row r="13" spans="1:20">
      <c r="A13" s="39" t="s">
        <v>240</v>
      </c>
      <c r="S13" s="39" t="s">
        <v>240</v>
      </c>
    </row>
    <row r="14" spans="1:20">
      <c r="A14" s="100" t="s">
        <v>261</v>
      </c>
      <c r="S14" s="100" t="s">
        <v>261</v>
      </c>
    </row>
    <row r="15" spans="1:20">
      <c r="A15" s="101" t="s">
        <v>262</v>
      </c>
      <c r="S15" s="101" t="s">
        <v>262</v>
      </c>
    </row>
    <row r="16" spans="1:20">
      <c r="A16" s="45" t="s">
        <v>263</v>
      </c>
      <c r="S16" s="45" t="s">
        <v>263</v>
      </c>
    </row>
    <row r="17" spans="1:52">
      <c r="A17" s="103" t="s">
        <v>264</v>
      </c>
      <c r="S17" s="103" t="s">
        <v>264</v>
      </c>
    </row>
    <row r="18" spans="1:52">
      <c r="A18" s="76" t="s">
        <v>265</v>
      </c>
      <c r="S18" s="76" t="s">
        <v>265</v>
      </c>
    </row>
    <row r="22" spans="1:52">
      <c r="A22" s="5" t="s">
        <v>226</v>
      </c>
      <c r="B22" s="10"/>
      <c r="C22" s="10"/>
      <c r="D22" s="5" t="s">
        <v>211</v>
      </c>
      <c r="E22" s="5" t="s">
        <v>212</v>
      </c>
      <c r="F22" s="5" t="s">
        <v>213</v>
      </c>
      <c r="G22" s="5" t="s">
        <v>214</v>
      </c>
      <c r="H22" s="5" t="s">
        <v>215</v>
      </c>
      <c r="I22" s="5" t="s">
        <v>217</v>
      </c>
      <c r="J22" s="5" t="s">
        <v>218</v>
      </c>
      <c r="K22" s="5" t="s">
        <v>219</v>
      </c>
      <c r="L22" s="5" t="s">
        <v>220</v>
      </c>
      <c r="M22" s="5" t="s">
        <v>221</v>
      </c>
      <c r="S22" s="5" t="s">
        <v>228</v>
      </c>
      <c r="T22" s="10"/>
      <c r="U22" s="10"/>
      <c r="V22" s="5" t="s">
        <v>211</v>
      </c>
      <c r="W22" s="5" t="s">
        <v>212</v>
      </c>
      <c r="X22" s="5" t="s">
        <v>213</v>
      </c>
      <c r="Y22" s="5" t="s">
        <v>214</v>
      </c>
      <c r="Z22" s="5" t="s">
        <v>215</v>
      </c>
      <c r="AA22" s="5" t="s">
        <v>217</v>
      </c>
      <c r="AB22" s="5" t="s">
        <v>218</v>
      </c>
      <c r="AC22" s="5" t="s">
        <v>219</v>
      </c>
      <c r="AD22" s="5" t="s">
        <v>220</v>
      </c>
      <c r="AE22" s="5" t="s">
        <v>221</v>
      </c>
      <c r="AK22" s="5" t="s">
        <v>229</v>
      </c>
      <c r="AL22" s="10"/>
      <c r="AM22" s="10"/>
      <c r="AN22" s="5" t="s">
        <v>211</v>
      </c>
      <c r="AO22" s="5" t="s">
        <v>212</v>
      </c>
      <c r="AP22" s="5" t="s">
        <v>213</v>
      </c>
      <c r="AQ22" s="5" t="s">
        <v>214</v>
      </c>
      <c r="AR22" s="5" t="s">
        <v>215</v>
      </c>
      <c r="AS22" s="5" t="s">
        <v>217</v>
      </c>
      <c r="AT22" s="5" t="s">
        <v>218</v>
      </c>
      <c r="AU22" s="5" t="s">
        <v>219</v>
      </c>
      <c r="AV22" s="5" t="s">
        <v>220</v>
      </c>
      <c r="AW22" s="5" t="s">
        <v>221</v>
      </c>
    </row>
    <row r="23" spans="1:52">
      <c r="A23" s="10" t="s">
        <v>222</v>
      </c>
      <c r="B23" s="10" t="s">
        <v>223</v>
      </c>
      <c r="C23" s="10" t="s">
        <v>8</v>
      </c>
      <c r="D23" s="2">
        <v>44298</v>
      </c>
      <c r="E23" s="2">
        <v>44299</v>
      </c>
      <c r="F23" s="2">
        <v>44300</v>
      </c>
      <c r="G23" s="2">
        <v>44301</v>
      </c>
      <c r="H23" s="2">
        <v>44302</v>
      </c>
      <c r="I23" s="2">
        <v>44303</v>
      </c>
      <c r="J23" s="2">
        <v>44304</v>
      </c>
      <c r="K23" s="2">
        <v>44306</v>
      </c>
      <c r="L23" s="2">
        <v>44307</v>
      </c>
      <c r="M23" s="2">
        <v>44308</v>
      </c>
      <c r="N23" s="48" t="s">
        <v>230</v>
      </c>
      <c r="O23" s="48" t="s">
        <v>231</v>
      </c>
      <c r="P23" s="48" t="s">
        <v>232</v>
      </c>
      <c r="S23" s="10" t="s">
        <v>222</v>
      </c>
      <c r="T23" s="10" t="s">
        <v>223</v>
      </c>
      <c r="U23" s="10" t="s">
        <v>8</v>
      </c>
      <c r="V23" s="2">
        <v>44298</v>
      </c>
      <c r="W23" s="2">
        <v>44299</v>
      </c>
      <c r="X23" s="2">
        <v>44300</v>
      </c>
      <c r="Y23" s="2">
        <v>44301</v>
      </c>
      <c r="Z23" s="2">
        <v>44302</v>
      </c>
      <c r="AA23" s="2">
        <v>44303</v>
      </c>
      <c r="AB23" s="2">
        <v>44304</v>
      </c>
      <c r="AC23" s="2">
        <v>44306</v>
      </c>
      <c r="AD23" s="2">
        <v>44307</v>
      </c>
      <c r="AE23" s="2">
        <v>44308</v>
      </c>
      <c r="AF23" s="48" t="s">
        <v>230</v>
      </c>
      <c r="AG23" s="48" t="s">
        <v>231</v>
      </c>
      <c r="AH23" s="48" t="s">
        <v>232</v>
      </c>
      <c r="AK23" s="10" t="s">
        <v>222</v>
      </c>
      <c r="AL23" s="10" t="s">
        <v>223</v>
      </c>
      <c r="AM23" s="10" t="s">
        <v>8</v>
      </c>
      <c r="AN23" s="2">
        <v>44298</v>
      </c>
      <c r="AO23" s="2">
        <v>44299</v>
      </c>
      <c r="AP23" s="2">
        <v>44300</v>
      </c>
      <c r="AQ23" s="2">
        <v>44301</v>
      </c>
      <c r="AR23" s="2">
        <v>44302</v>
      </c>
      <c r="AS23" s="2">
        <v>44303</v>
      </c>
      <c r="AT23" s="2">
        <v>44304</v>
      </c>
      <c r="AU23" s="2">
        <v>44306</v>
      </c>
      <c r="AV23" s="2">
        <v>44307</v>
      </c>
      <c r="AW23" s="2">
        <v>44308</v>
      </c>
      <c r="AX23" s="48" t="s">
        <v>230</v>
      </c>
      <c r="AY23" s="48" t="s">
        <v>231</v>
      </c>
      <c r="AZ23" s="48" t="s">
        <v>232</v>
      </c>
    </row>
    <row r="24" spans="1:52">
      <c r="A24" s="12" t="s">
        <v>102</v>
      </c>
      <c r="B24" s="7">
        <v>3</v>
      </c>
      <c r="C24" s="12" t="s">
        <v>12</v>
      </c>
      <c r="D24" s="40">
        <v>24</v>
      </c>
      <c r="E24" s="7">
        <v>9</v>
      </c>
      <c r="F24" s="7">
        <v>26</v>
      </c>
      <c r="G24" s="8">
        <v>21</v>
      </c>
      <c r="H24" s="41">
        <v>32</v>
      </c>
      <c r="I24" s="7">
        <v>25</v>
      </c>
      <c r="J24" s="12">
        <v>63</v>
      </c>
      <c r="K24" s="7">
        <v>31</v>
      </c>
      <c r="L24" s="7">
        <v>24</v>
      </c>
      <c r="M24" s="40">
        <v>66</v>
      </c>
      <c r="N24">
        <f>AVERAGE(K24:M24)</f>
        <v>40.333333333333336</v>
      </c>
      <c r="O24">
        <f>AVERAGE(D24:M24)</f>
        <v>32.1</v>
      </c>
      <c r="P24" s="109">
        <v>1</v>
      </c>
      <c r="S24" s="12" t="s">
        <v>102</v>
      </c>
      <c r="T24" s="7">
        <v>3</v>
      </c>
      <c r="U24" s="12" t="s">
        <v>12</v>
      </c>
      <c r="V24" s="40">
        <v>29</v>
      </c>
      <c r="W24" s="7">
        <v>12</v>
      </c>
      <c r="X24" s="7">
        <v>34</v>
      </c>
      <c r="Y24" s="8">
        <v>26</v>
      </c>
      <c r="Z24" s="40">
        <v>42</v>
      </c>
      <c r="AA24" s="7">
        <v>35</v>
      </c>
      <c r="AB24" s="12">
        <v>159</v>
      </c>
      <c r="AC24" s="7">
        <v>41</v>
      </c>
      <c r="AD24" s="7">
        <v>28</v>
      </c>
      <c r="AE24" s="40">
        <v>80</v>
      </c>
      <c r="AF24">
        <f>AVERAGE(AC24:AE24)</f>
        <v>49.666666666666664</v>
      </c>
      <c r="AG24">
        <f>AVERAGE(V24:AE24)</f>
        <v>48.6</v>
      </c>
      <c r="AH24" s="109">
        <v>1</v>
      </c>
      <c r="AK24" s="12" t="s">
        <v>102</v>
      </c>
      <c r="AL24" s="7">
        <v>3</v>
      </c>
      <c r="AM24" s="12" t="s">
        <v>12</v>
      </c>
      <c r="AN24" s="40">
        <v>15</v>
      </c>
      <c r="AO24" s="7">
        <v>17</v>
      </c>
      <c r="AP24" s="7">
        <v>26</v>
      </c>
      <c r="AQ24" s="8">
        <v>25</v>
      </c>
      <c r="AR24" s="40">
        <v>9</v>
      </c>
      <c r="AS24" s="7">
        <v>4</v>
      </c>
      <c r="AT24" s="12">
        <v>46</v>
      </c>
      <c r="AU24" s="7">
        <v>12</v>
      </c>
      <c r="AV24" s="7">
        <v>3</v>
      </c>
      <c r="AW24" s="40">
        <v>10</v>
      </c>
      <c r="AX24">
        <f>AVERAGE(AU24:AW24)</f>
        <v>8.3333333333333339</v>
      </c>
      <c r="AY24">
        <f>AVERAGE(AN24:AW24)</f>
        <v>16.7</v>
      </c>
      <c r="AZ24" s="109">
        <v>1</v>
      </c>
    </row>
    <row r="25" spans="1:52">
      <c r="A25" s="12" t="s">
        <v>124</v>
      </c>
      <c r="B25" s="7">
        <v>12</v>
      </c>
      <c r="C25" s="12" t="s">
        <v>12</v>
      </c>
      <c r="D25" s="69">
        <v>32</v>
      </c>
      <c r="E25" s="7">
        <v>53</v>
      </c>
      <c r="F25" s="7">
        <v>27</v>
      </c>
      <c r="G25" s="8">
        <v>22</v>
      </c>
      <c r="H25" s="8">
        <v>17</v>
      </c>
      <c r="I25" s="7">
        <v>18</v>
      </c>
      <c r="J25" s="12">
        <v>22</v>
      </c>
      <c r="K25" s="7">
        <v>26</v>
      </c>
      <c r="L25" s="7">
        <v>32</v>
      </c>
      <c r="M25" s="7">
        <v>37</v>
      </c>
      <c r="N25">
        <f>AVERAGE(K25:M25)</f>
        <v>31.666666666666668</v>
      </c>
      <c r="O25">
        <f>AVERAGE(D25:M25)</f>
        <v>28.6</v>
      </c>
      <c r="P25" s="109">
        <v>1</v>
      </c>
      <c r="S25" s="12" t="s">
        <v>124</v>
      </c>
      <c r="T25" s="7">
        <v>12</v>
      </c>
      <c r="U25" s="12" t="s">
        <v>12</v>
      </c>
      <c r="V25" s="69">
        <v>84</v>
      </c>
      <c r="W25" s="7">
        <v>83</v>
      </c>
      <c r="X25" s="7">
        <v>58</v>
      </c>
      <c r="Y25" s="8">
        <v>42</v>
      </c>
      <c r="Z25" s="7">
        <v>43</v>
      </c>
      <c r="AA25" s="7">
        <v>32</v>
      </c>
      <c r="AB25" s="12">
        <v>85</v>
      </c>
      <c r="AC25" s="7">
        <v>50</v>
      </c>
      <c r="AD25" s="7">
        <v>52</v>
      </c>
      <c r="AE25" s="7">
        <v>69</v>
      </c>
      <c r="AF25">
        <f>AVERAGE(AC25:AE25)</f>
        <v>57</v>
      </c>
      <c r="AG25">
        <f>AVERAGE(V25:AE25)</f>
        <v>59.8</v>
      </c>
      <c r="AH25" s="109">
        <v>1</v>
      </c>
      <c r="AK25" s="12" t="s">
        <v>124</v>
      </c>
      <c r="AL25" s="7">
        <v>12</v>
      </c>
      <c r="AM25" s="12" t="s">
        <v>12</v>
      </c>
      <c r="AN25" s="69">
        <v>25</v>
      </c>
      <c r="AO25" s="7">
        <v>32</v>
      </c>
      <c r="AP25" s="7">
        <v>17</v>
      </c>
      <c r="AQ25" s="8">
        <v>4</v>
      </c>
      <c r="AR25" s="7">
        <v>43</v>
      </c>
      <c r="AS25" s="7">
        <v>4</v>
      </c>
      <c r="AT25" s="12">
        <v>2</v>
      </c>
      <c r="AU25" s="7">
        <v>8</v>
      </c>
      <c r="AV25" s="7">
        <v>10</v>
      </c>
      <c r="AW25" s="7">
        <v>7</v>
      </c>
      <c r="AX25">
        <f>AVERAGE(AU25:AW25)</f>
        <v>8.3333333333333339</v>
      </c>
      <c r="AY25">
        <f>AVERAGE(AN25:AW25)</f>
        <v>15.2</v>
      </c>
      <c r="AZ25" s="109">
        <v>1</v>
      </c>
    </row>
    <row r="26" spans="1:52">
      <c r="A26" s="12" t="s">
        <v>105</v>
      </c>
      <c r="B26" s="7">
        <v>4</v>
      </c>
      <c r="C26" s="12" t="s">
        <v>12</v>
      </c>
      <c r="D26" s="40">
        <v>32</v>
      </c>
      <c r="E26" s="7">
        <v>40</v>
      </c>
      <c r="F26" s="7">
        <v>31</v>
      </c>
      <c r="G26" s="7">
        <v>26</v>
      </c>
      <c r="H26" s="41">
        <v>26</v>
      </c>
      <c r="I26" s="7">
        <v>27</v>
      </c>
      <c r="J26" s="107">
        <v>29</v>
      </c>
      <c r="K26" s="106">
        <v>30</v>
      </c>
      <c r="L26" s="106">
        <v>24</v>
      </c>
      <c r="M26" s="40">
        <v>50</v>
      </c>
      <c r="N26">
        <f>AVERAGE(K26:M26)</f>
        <v>34.666666666666664</v>
      </c>
      <c r="O26">
        <f>AVERAGE(D26:M26)</f>
        <v>31.5</v>
      </c>
      <c r="P26" s="109">
        <v>1</v>
      </c>
      <c r="S26" s="12" t="s">
        <v>105</v>
      </c>
      <c r="T26" s="7">
        <v>4</v>
      </c>
      <c r="U26" s="12" t="s">
        <v>12</v>
      </c>
      <c r="V26" s="40">
        <v>53</v>
      </c>
      <c r="W26" s="7">
        <v>73</v>
      </c>
      <c r="X26" s="7">
        <v>51</v>
      </c>
      <c r="Y26" s="7">
        <v>36</v>
      </c>
      <c r="Z26" s="40">
        <v>38</v>
      </c>
      <c r="AA26" s="7">
        <v>51</v>
      </c>
      <c r="AB26" s="107">
        <v>52</v>
      </c>
      <c r="AC26" s="106">
        <v>57</v>
      </c>
      <c r="AD26" s="106">
        <v>50</v>
      </c>
      <c r="AE26" s="40">
        <v>80</v>
      </c>
      <c r="AF26">
        <f>AVERAGE(AC26:AE26)</f>
        <v>62.333333333333336</v>
      </c>
      <c r="AG26">
        <f>AVERAGE(V26:AE26)</f>
        <v>54.1</v>
      </c>
      <c r="AH26" s="109">
        <v>1</v>
      </c>
      <c r="AK26" s="12" t="s">
        <v>105</v>
      </c>
      <c r="AL26" s="7">
        <v>4</v>
      </c>
      <c r="AM26" s="12" t="s">
        <v>12</v>
      </c>
      <c r="AN26" s="40">
        <v>39</v>
      </c>
      <c r="AO26" s="7">
        <v>7</v>
      </c>
      <c r="AP26" s="7">
        <v>21</v>
      </c>
      <c r="AQ26" s="7">
        <v>6</v>
      </c>
      <c r="AR26" s="40">
        <v>17</v>
      </c>
      <c r="AS26" s="7">
        <v>17</v>
      </c>
      <c r="AT26" s="107">
        <v>4</v>
      </c>
      <c r="AU26" s="106">
        <v>9</v>
      </c>
      <c r="AV26" s="106">
        <v>10</v>
      </c>
      <c r="AW26" s="40">
        <v>2</v>
      </c>
      <c r="AX26">
        <f>AVERAGE(AU26:AW26)</f>
        <v>7</v>
      </c>
      <c r="AY26">
        <f>AVERAGE(AN26:AW26)</f>
        <v>13.2</v>
      </c>
      <c r="AZ26" s="109">
        <v>1</v>
      </c>
    </row>
    <row r="27" spans="1:52">
      <c r="A27" s="12" t="s">
        <v>123</v>
      </c>
      <c r="B27" s="7">
        <v>11</v>
      </c>
      <c r="C27" s="12" t="s">
        <v>12</v>
      </c>
      <c r="D27" s="7">
        <v>23</v>
      </c>
      <c r="E27" s="7">
        <v>39</v>
      </c>
      <c r="F27" s="7">
        <v>50</v>
      </c>
      <c r="G27" s="8">
        <v>56</v>
      </c>
      <c r="H27" s="8">
        <v>45</v>
      </c>
      <c r="I27" s="79">
        <v>31</v>
      </c>
      <c r="J27" s="12">
        <v>18</v>
      </c>
      <c r="K27" s="7">
        <v>41</v>
      </c>
      <c r="L27" s="7">
        <v>47</v>
      </c>
      <c r="M27" s="7">
        <v>54</v>
      </c>
      <c r="N27">
        <f>AVERAGE(K27:M27)</f>
        <v>47.333333333333336</v>
      </c>
      <c r="O27">
        <f>AVERAGE(D27:M27)</f>
        <v>40.4</v>
      </c>
      <c r="P27" s="109">
        <v>1</v>
      </c>
      <c r="S27" s="12" t="s">
        <v>123</v>
      </c>
      <c r="T27" s="7">
        <v>11</v>
      </c>
      <c r="U27" s="12" t="s">
        <v>12</v>
      </c>
      <c r="V27" s="7">
        <v>34</v>
      </c>
      <c r="W27" s="7">
        <v>89</v>
      </c>
      <c r="X27" s="7">
        <v>142</v>
      </c>
      <c r="Y27" s="8">
        <v>172</v>
      </c>
      <c r="Z27" s="7">
        <v>63</v>
      </c>
      <c r="AA27" s="79">
        <v>64</v>
      </c>
      <c r="AB27" s="12">
        <v>32</v>
      </c>
      <c r="AC27" s="7">
        <v>142</v>
      </c>
      <c r="AD27" s="7">
        <v>97</v>
      </c>
      <c r="AE27" s="7">
        <v>144</v>
      </c>
      <c r="AF27">
        <f>AVERAGE(AC27:AE27)</f>
        <v>127.66666666666667</v>
      </c>
      <c r="AG27">
        <f>AVERAGE(V27:AE27)</f>
        <v>97.9</v>
      </c>
      <c r="AH27" s="109">
        <v>1</v>
      </c>
      <c r="AK27" s="12" t="s">
        <v>123</v>
      </c>
      <c r="AL27" s="7">
        <v>11</v>
      </c>
      <c r="AM27" s="12" t="s">
        <v>12</v>
      </c>
      <c r="AN27" s="7">
        <v>15</v>
      </c>
      <c r="AO27" s="7">
        <v>26</v>
      </c>
      <c r="AP27" s="7">
        <v>34</v>
      </c>
      <c r="AQ27" s="8">
        <v>9</v>
      </c>
      <c r="AR27" s="7">
        <v>3</v>
      </c>
      <c r="AS27" s="79">
        <v>7</v>
      </c>
      <c r="AT27" s="12">
        <v>5</v>
      </c>
      <c r="AU27" s="7">
        <v>15</v>
      </c>
      <c r="AV27" s="7">
        <v>78</v>
      </c>
      <c r="AW27" s="7">
        <v>6</v>
      </c>
      <c r="AX27">
        <f>AVERAGE(AU27:AW27)</f>
        <v>33</v>
      </c>
      <c r="AY27">
        <f>AVERAGE(AN27:AW27)</f>
        <v>19.8</v>
      </c>
      <c r="AZ27" s="109">
        <v>1</v>
      </c>
    </row>
    <row r="28" spans="1:52">
      <c r="A28" s="12" t="s">
        <v>116</v>
      </c>
      <c r="B28" s="7">
        <v>8</v>
      </c>
      <c r="C28" s="12" t="s">
        <v>12</v>
      </c>
      <c r="D28" s="7">
        <v>27</v>
      </c>
      <c r="E28" s="7">
        <v>55</v>
      </c>
      <c r="F28" s="7">
        <v>66</v>
      </c>
      <c r="G28" s="104">
        <v>75</v>
      </c>
      <c r="H28" s="8">
        <v>72</v>
      </c>
      <c r="I28" s="7">
        <v>75</v>
      </c>
      <c r="J28" s="12">
        <v>75</v>
      </c>
      <c r="K28" s="10">
        <v>75</v>
      </c>
      <c r="L28" s="7">
        <v>75</v>
      </c>
      <c r="M28" s="7">
        <v>75</v>
      </c>
      <c r="N28">
        <f>AVERAGE(K28:M28)</f>
        <v>75</v>
      </c>
      <c r="O28">
        <f>AVERAGE(D28:M28)</f>
        <v>67</v>
      </c>
      <c r="P28" s="109">
        <v>1</v>
      </c>
      <c r="S28" s="12" t="s">
        <v>116</v>
      </c>
      <c r="T28" s="7">
        <v>8</v>
      </c>
      <c r="U28" s="12" t="s">
        <v>12</v>
      </c>
      <c r="V28" s="7">
        <v>49</v>
      </c>
      <c r="W28" s="7">
        <v>102</v>
      </c>
      <c r="X28" s="7">
        <v>127</v>
      </c>
      <c r="Y28" s="104">
        <v>138</v>
      </c>
      <c r="Z28" s="8">
        <v>128</v>
      </c>
      <c r="AA28" s="7">
        <v>143</v>
      </c>
      <c r="AB28" s="12">
        <v>156</v>
      </c>
      <c r="AC28" s="10">
        <v>146</v>
      </c>
      <c r="AD28" s="7">
        <v>172</v>
      </c>
      <c r="AE28" s="7">
        <v>172</v>
      </c>
      <c r="AF28">
        <f>AVERAGE(AC28:AE28)</f>
        <v>163.33333333333334</v>
      </c>
      <c r="AG28">
        <f>AVERAGE(V28:AE28)</f>
        <v>133.30000000000001</v>
      </c>
      <c r="AH28" s="109">
        <v>1</v>
      </c>
      <c r="AK28" s="12" t="s">
        <v>116</v>
      </c>
      <c r="AL28" s="7">
        <v>8</v>
      </c>
      <c r="AM28" s="12" t="s">
        <v>12</v>
      </c>
      <c r="AN28" s="7">
        <v>17</v>
      </c>
      <c r="AO28" s="7">
        <v>1</v>
      </c>
      <c r="AP28" s="7">
        <v>0</v>
      </c>
      <c r="AQ28" s="104">
        <v>7</v>
      </c>
      <c r="AR28" s="8">
        <v>0</v>
      </c>
      <c r="AS28" s="7">
        <v>1</v>
      </c>
      <c r="AT28" s="12">
        <v>2</v>
      </c>
      <c r="AU28" s="10">
        <v>4</v>
      </c>
      <c r="AV28" s="7">
        <v>6</v>
      </c>
      <c r="AW28" s="7">
        <v>5</v>
      </c>
      <c r="AX28">
        <f>AVERAGE(AU28:AW28)</f>
        <v>5</v>
      </c>
      <c r="AY28">
        <f>AVERAGE(AN28:AW28)</f>
        <v>4.3</v>
      </c>
      <c r="AZ28" s="109">
        <v>1</v>
      </c>
    </row>
    <row r="29" spans="1:52">
      <c r="M29" s="48" t="s">
        <v>252</v>
      </c>
      <c r="N29">
        <f>AVERAGE(N24:N28)</f>
        <v>45.8</v>
      </c>
      <c r="O29">
        <f>AVERAGE(O24:O28)</f>
        <v>39.92</v>
      </c>
      <c r="AE29" s="48" t="s">
        <v>252</v>
      </c>
      <c r="AF29">
        <f>AVERAGE(AF24:AF28)</f>
        <v>92</v>
      </c>
      <c r="AG29">
        <f>AVERAGE(AG24:AG28)</f>
        <v>78.739999999999995</v>
      </c>
      <c r="AW29" s="48" t="s">
        <v>252</v>
      </c>
      <c r="AX29">
        <f>AVERAGE(AX24:AX28)</f>
        <v>12.333333333333334</v>
      </c>
      <c r="AY29">
        <f>AVERAGE(AY24:AY28)</f>
        <v>13.839999999999998</v>
      </c>
    </row>
    <row r="32" spans="1:52">
      <c r="A32" s="12" t="s">
        <v>110</v>
      </c>
      <c r="B32" s="7">
        <v>6</v>
      </c>
      <c r="C32" s="12" t="s">
        <v>12</v>
      </c>
      <c r="D32" s="40">
        <v>32</v>
      </c>
      <c r="E32" s="7">
        <v>29</v>
      </c>
      <c r="F32" s="7">
        <v>41</v>
      </c>
      <c r="G32" s="8">
        <v>47</v>
      </c>
      <c r="H32" s="41">
        <v>34</v>
      </c>
      <c r="I32" s="80">
        <v>38</v>
      </c>
      <c r="J32" s="12">
        <v>17</v>
      </c>
      <c r="K32" s="7">
        <v>20</v>
      </c>
      <c r="L32" s="7">
        <v>30</v>
      </c>
      <c r="M32" s="40">
        <v>36</v>
      </c>
      <c r="N32">
        <f>AVERAGE(K32:M32)</f>
        <v>28.666666666666668</v>
      </c>
      <c r="O32">
        <f>AVERAGE(D32:M32)</f>
        <v>32.4</v>
      </c>
      <c r="P32" s="109">
        <v>30</v>
      </c>
      <c r="S32" s="12" t="s">
        <v>110</v>
      </c>
      <c r="T32" s="7">
        <v>6</v>
      </c>
      <c r="U32" s="12" t="s">
        <v>12</v>
      </c>
      <c r="V32" s="40">
        <v>49</v>
      </c>
      <c r="W32" s="7">
        <v>48</v>
      </c>
      <c r="X32" s="7">
        <v>52</v>
      </c>
      <c r="Y32" s="8">
        <v>65</v>
      </c>
      <c r="Z32" s="41">
        <v>42</v>
      </c>
      <c r="AA32" s="80">
        <v>49</v>
      </c>
      <c r="AB32" s="12">
        <v>21</v>
      </c>
      <c r="AC32" s="7">
        <v>39</v>
      </c>
      <c r="AD32" s="7">
        <v>40</v>
      </c>
      <c r="AE32" s="40">
        <v>49</v>
      </c>
      <c r="AF32">
        <f>AVERAGE(AC32:AE32)</f>
        <v>42.666666666666664</v>
      </c>
      <c r="AG32">
        <f>AVERAGE(V32:AE32)</f>
        <v>45.4</v>
      </c>
      <c r="AH32" s="109">
        <v>30</v>
      </c>
      <c r="AK32" s="12" t="s">
        <v>110</v>
      </c>
      <c r="AL32" s="7">
        <v>6</v>
      </c>
      <c r="AM32" s="12" t="s">
        <v>12</v>
      </c>
      <c r="AN32" s="40">
        <v>27</v>
      </c>
      <c r="AO32" s="7">
        <v>7</v>
      </c>
      <c r="AP32" s="7">
        <v>12</v>
      </c>
      <c r="AQ32" s="8">
        <v>26</v>
      </c>
      <c r="AR32" s="41">
        <v>23</v>
      </c>
      <c r="AS32" s="80">
        <v>8</v>
      </c>
      <c r="AT32" s="12">
        <v>2</v>
      </c>
      <c r="AU32" s="7">
        <v>8</v>
      </c>
      <c r="AV32" s="7">
        <v>9</v>
      </c>
      <c r="AW32" s="40">
        <v>12</v>
      </c>
      <c r="AX32">
        <f>AVERAGE(AU32:AW32)</f>
        <v>9.6666666666666661</v>
      </c>
      <c r="AY32">
        <f>AVERAGE(AN32:AW32)</f>
        <v>13.4</v>
      </c>
      <c r="AZ32" s="109">
        <v>30</v>
      </c>
    </row>
    <row r="33" spans="1:52">
      <c r="A33" s="12" t="s">
        <v>113</v>
      </c>
      <c r="B33" s="7">
        <v>7</v>
      </c>
      <c r="C33" s="12" t="s">
        <v>12</v>
      </c>
      <c r="D33" s="7">
        <v>25</v>
      </c>
      <c r="E33" s="7">
        <v>22</v>
      </c>
      <c r="F33" s="7">
        <v>35</v>
      </c>
      <c r="G33" s="7">
        <v>36</v>
      </c>
      <c r="H33" s="7">
        <v>48</v>
      </c>
      <c r="I33" s="81">
        <v>32</v>
      </c>
      <c r="J33" s="12">
        <v>23</v>
      </c>
      <c r="K33" s="7">
        <v>41</v>
      </c>
      <c r="L33" s="7">
        <v>36</v>
      </c>
      <c r="M33" s="7">
        <v>34</v>
      </c>
      <c r="N33">
        <f>AVERAGE(K33:M33)</f>
        <v>37</v>
      </c>
      <c r="O33">
        <f>AVERAGE(D33:M33)</f>
        <v>33.200000000000003</v>
      </c>
      <c r="P33" s="109">
        <v>30</v>
      </c>
      <c r="S33" s="12" t="s">
        <v>113</v>
      </c>
      <c r="T33" s="7">
        <v>7</v>
      </c>
      <c r="U33" s="12" t="s">
        <v>12</v>
      </c>
      <c r="V33" s="7">
        <v>46</v>
      </c>
      <c r="W33" s="7">
        <v>41</v>
      </c>
      <c r="X33" s="7">
        <v>55</v>
      </c>
      <c r="Y33" s="7">
        <v>70</v>
      </c>
      <c r="Z33" s="7">
        <v>72</v>
      </c>
      <c r="AA33" s="81">
        <v>59</v>
      </c>
      <c r="AB33" s="12">
        <v>36</v>
      </c>
      <c r="AC33" s="7">
        <v>58</v>
      </c>
      <c r="AD33" s="7">
        <v>51</v>
      </c>
      <c r="AE33" s="7">
        <v>53</v>
      </c>
      <c r="AF33">
        <f>AVERAGE(AC33:AE33)</f>
        <v>54</v>
      </c>
      <c r="AG33">
        <f>AVERAGE(V33:AE33)</f>
        <v>54.1</v>
      </c>
      <c r="AH33" s="109">
        <v>30</v>
      </c>
      <c r="AK33" s="12" t="s">
        <v>113</v>
      </c>
      <c r="AL33" s="7">
        <v>7</v>
      </c>
      <c r="AM33" s="12" t="s">
        <v>12</v>
      </c>
      <c r="AN33" s="7">
        <v>3</v>
      </c>
      <c r="AO33" s="7">
        <v>32</v>
      </c>
      <c r="AP33" s="7">
        <v>12</v>
      </c>
      <c r="AQ33" s="7">
        <v>0</v>
      </c>
      <c r="AR33" s="7">
        <v>17</v>
      </c>
      <c r="AS33" s="81">
        <v>43</v>
      </c>
      <c r="AT33" s="12">
        <v>9</v>
      </c>
      <c r="AU33" s="7">
        <v>27</v>
      </c>
      <c r="AV33" s="7">
        <v>24</v>
      </c>
      <c r="AW33" s="7">
        <v>13</v>
      </c>
      <c r="AX33">
        <f>AVERAGE(AU33:AW33)</f>
        <v>21.333333333333332</v>
      </c>
      <c r="AY33">
        <f>AVERAGE(AN33:AW33)</f>
        <v>18</v>
      </c>
      <c r="AZ33" s="109">
        <v>30</v>
      </c>
    </row>
    <row r="34" spans="1:52">
      <c r="A34" s="12" t="s">
        <v>125</v>
      </c>
      <c r="B34" s="7">
        <v>13</v>
      </c>
      <c r="C34" s="12" t="s">
        <v>12</v>
      </c>
      <c r="D34" s="7">
        <v>35</v>
      </c>
      <c r="E34" s="7">
        <v>32</v>
      </c>
      <c r="F34" s="7">
        <v>32</v>
      </c>
      <c r="G34" s="8">
        <v>36</v>
      </c>
      <c r="H34" s="8">
        <v>36</v>
      </c>
      <c r="I34" s="7">
        <v>6</v>
      </c>
      <c r="J34" s="12">
        <v>75</v>
      </c>
      <c r="K34" s="7">
        <v>60</v>
      </c>
      <c r="L34" s="7">
        <v>63</v>
      </c>
      <c r="M34" s="7">
        <v>52</v>
      </c>
      <c r="N34">
        <f>AVERAGE(K34:M34)</f>
        <v>58.333333333333336</v>
      </c>
      <c r="O34">
        <f>AVERAGE(D34:M34)</f>
        <v>42.7</v>
      </c>
      <c r="P34" s="109">
        <v>30</v>
      </c>
      <c r="S34" s="12" t="s">
        <v>125</v>
      </c>
      <c r="T34" s="7">
        <v>13</v>
      </c>
      <c r="U34" s="12" t="s">
        <v>12</v>
      </c>
      <c r="V34" s="7">
        <v>60</v>
      </c>
      <c r="W34" s="7">
        <v>40</v>
      </c>
      <c r="X34" s="7">
        <v>42</v>
      </c>
      <c r="Y34" s="8">
        <v>54</v>
      </c>
      <c r="Z34" s="8">
        <v>54</v>
      </c>
      <c r="AA34" s="7">
        <v>119</v>
      </c>
      <c r="AB34" s="12">
        <v>135</v>
      </c>
      <c r="AC34" s="7">
        <v>95</v>
      </c>
      <c r="AD34" s="7">
        <v>87</v>
      </c>
      <c r="AE34" s="7">
        <v>108</v>
      </c>
      <c r="AF34">
        <f>AVERAGE(AC34:AE34)</f>
        <v>96.666666666666671</v>
      </c>
      <c r="AG34">
        <f>AVERAGE(V34:AE34)</f>
        <v>79.400000000000006</v>
      </c>
      <c r="AH34" s="109">
        <v>30</v>
      </c>
      <c r="AK34" s="12" t="s">
        <v>125</v>
      </c>
      <c r="AL34" s="7">
        <v>13</v>
      </c>
      <c r="AM34" s="12" t="s">
        <v>12</v>
      </c>
      <c r="AN34" s="7">
        <v>9</v>
      </c>
      <c r="AO34" s="7">
        <v>6</v>
      </c>
      <c r="AP34" s="7">
        <v>1</v>
      </c>
      <c r="AQ34" s="8">
        <v>15</v>
      </c>
      <c r="AR34" s="8">
        <v>14</v>
      </c>
      <c r="AS34" s="7">
        <v>12</v>
      </c>
      <c r="AT34" s="12">
        <v>8</v>
      </c>
      <c r="AU34" s="7">
        <v>3</v>
      </c>
      <c r="AV34" s="7">
        <v>34</v>
      </c>
      <c r="AW34" s="7">
        <v>9</v>
      </c>
      <c r="AX34">
        <f>AVERAGE(AU34:AW34)</f>
        <v>15.333333333333334</v>
      </c>
      <c r="AY34">
        <f>AVERAGE(AN34:AW34)</f>
        <v>11.1</v>
      </c>
      <c r="AZ34" s="109">
        <v>30</v>
      </c>
    </row>
    <row r="35" spans="1:52" ht="21.6">
      <c r="A35" s="99" t="s">
        <v>128</v>
      </c>
      <c r="B35" s="7">
        <v>16</v>
      </c>
      <c r="C35" s="12" t="s">
        <v>12</v>
      </c>
      <c r="D35" s="7">
        <v>15</v>
      </c>
      <c r="E35" s="7">
        <v>74</v>
      </c>
      <c r="F35" s="12">
        <v>75</v>
      </c>
      <c r="G35" s="8">
        <v>75</v>
      </c>
      <c r="H35" s="8">
        <v>75</v>
      </c>
      <c r="I35" s="7">
        <v>75</v>
      </c>
      <c r="J35" s="12">
        <v>65</v>
      </c>
      <c r="K35" s="7">
        <v>62</v>
      </c>
      <c r="L35" s="7">
        <v>71</v>
      </c>
      <c r="M35" s="7">
        <v>75</v>
      </c>
      <c r="N35">
        <f>AVERAGE(K35:M35)</f>
        <v>69.333333333333329</v>
      </c>
      <c r="O35">
        <f>AVERAGE(D35:M35)</f>
        <v>66.2</v>
      </c>
      <c r="P35" s="109">
        <v>30</v>
      </c>
      <c r="S35" s="99" t="s">
        <v>128</v>
      </c>
      <c r="T35" s="7">
        <v>16</v>
      </c>
      <c r="U35" s="12" t="s">
        <v>12</v>
      </c>
      <c r="V35" s="7">
        <v>19</v>
      </c>
      <c r="W35" s="7">
        <v>149</v>
      </c>
      <c r="X35" s="7">
        <v>184</v>
      </c>
      <c r="Y35" s="8">
        <v>182</v>
      </c>
      <c r="Z35" s="8">
        <v>227</v>
      </c>
      <c r="AA35" s="7">
        <v>168</v>
      </c>
      <c r="AB35" s="12">
        <v>124</v>
      </c>
      <c r="AC35" s="7">
        <v>109</v>
      </c>
      <c r="AD35" s="7">
        <v>122</v>
      </c>
      <c r="AE35" s="7">
        <v>161</v>
      </c>
      <c r="AF35">
        <f>AVERAGE(AC35:AE35)</f>
        <v>130.66666666666666</v>
      </c>
      <c r="AG35">
        <f>AVERAGE(V35:AE35)</f>
        <v>144.5</v>
      </c>
      <c r="AH35" s="109">
        <v>30</v>
      </c>
      <c r="AK35" s="99" t="s">
        <v>128</v>
      </c>
      <c r="AL35" s="7">
        <v>16</v>
      </c>
      <c r="AM35" s="12" t="s">
        <v>12</v>
      </c>
      <c r="AN35" s="7">
        <v>5</v>
      </c>
      <c r="AO35" s="7">
        <v>6</v>
      </c>
      <c r="AP35" s="7">
        <v>153</v>
      </c>
      <c r="AQ35" s="8"/>
      <c r="AR35" s="8"/>
      <c r="AS35" s="7">
        <v>15</v>
      </c>
      <c r="AT35" s="12">
        <v>22</v>
      </c>
      <c r="AU35" s="7">
        <v>3</v>
      </c>
      <c r="AV35" s="7">
        <v>2</v>
      </c>
      <c r="AW35" s="7">
        <v>11</v>
      </c>
      <c r="AX35">
        <f>AVERAGE(AU35:AW35)</f>
        <v>5.333333333333333</v>
      </c>
      <c r="AY35">
        <f>AVERAGE(AN35:AW35)</f>
        <v>27.125</v>
      </c>
      <c r="AZ35" s="109">
        <v>30</v>
      </c>
    </row>
    <row r="36" spans="1:52">
      <c r="A36" s="12" t="s">
        <v>127</v>
      </c>
      <c r="B36" s="7">
        <v>15</v>
      </c>
      <c r="C36" s="12" t="s">
        <v>12</v>
      </c>
      <c r="D36" s="7">
        <v>49</v>
      </c>
      <c r="E36" s="7">
        <v>50</v>
      </c>
      <c r="F36" s="7">
        <v>75</v>
      </c>
      <c r="G36" s="8">
        <v>75</v>
      </c>
      <c r="H36" s="8">
        <v>75</v>
      </c>
      <c r="I36" s="7">
        <v>75</v>
      </c>
      <c r="J36" s="12">
        <v>75</v>
      </c>
      <c r="K36" s="7">
        <v>75</v>
      </c>
      <c r="L36" s="7">
        <v>55</v>
      </c>
      <c r="M36" s="69">
        <v>51</v>
      </c>
      <c r="N36">
        <f>AVERAGE(K36:M36)</f>
        <v>60.333333333333336</v>
      </c>
      <c r="O36">
        <f>AVERAGE(D36:M36)</f>
        <v>65.5</v>
      </c>
      <c r="P36" s="109">
        <v>30</v>
      </c>
      <c r="S36" s="12" t="s">
        <v>127</v>
      </c>
      <c r="T36" s="7">
        <v>15</v>
      </c>
      <c r="U36" s="12" t="s">
        <v>12</v>
      </c>
      <c r="V36" s="7">
        <v>137</v>
      </c>
      <c r="W36" s="7">
        <v>293</v>
      </c>
      <c r="X36" s="7">
        <v>376</v>
      </c>
      <c r="Y36" s="8">
        <v>489</v>
      </c>
      <c r="Z36" s="8">
        <v>329</v>
      </c>
      <c r="AA36" s="7">
        <v>404</v>
      </c>
      <c r="AB36" s="12">
        <v>300</v>
      </c>
      <c r="AC36" s="7">
        <v>244</v>
      </c>
      <c r="AD36" s="7">
        <v>207</v>
      </c>
      <c r="AE36" s="69">
        <v>167</v>
      </c>
      <c r="AF36">
        <f>AVERAGE(AC36:AE36)</f>
        <v>206</v>
      </c>
      <c r="AG36">
        <f>AVERAGE(V36:AE36)</f>
        <v>294.60000000000002</v>
      </c>
      <c r="AH36" s="109">
        <v>30</v>
      </c>
      <c r="AK36" s="12" t="s">
        <v>127</v>
      </c>
      <c r="AL36" s="7">
        <v>15</v>
      </c>
      <c r="AM36" s="12" t="s">
        <v>12</v>
      </c>
      <c r="AN36" s="7">
        <v>12</v>
      </c>
      <c r="AO36" s="7">
        <v>342</v>
      </c>
      <c r="AP36" s="7">
        <v>38</v>
      </c>
      <c r="AQ36" s="8">
        <v>28</v>
      </c>
      <c r="AR36" s="8"/>
      <c r="AS36" s="7">
        <v>7</v>
      </c>
      <c r="AT36" s="12">
        <v>38</v>
      </c>
      <c r="AU36" s="7">
        <v>41</v>
      </c>
      <c r="AV36" s="7">
        <v>32</v>
      </c>
      <c r="AW36" s="69">
        <v>39</v>
      </c>
      <c r="AX36">
        <f>AVERAGE(AU36:AW36)</f>
        <v>37.333333333333336</v>
      </c>
      <c r="AY36">
        <f>AVERAGE(AN36:AW36)</f>
        <v>64.111111111111114</v>
      </c>
      <c r="AZ36" s="109">
        <v>30</v>
      </c>
    </row>
    <row r="37" spans="1:52">
      <c r="M37" s="48" t="s">
        <v>252</v>
      </c>
      <c r="N37">
        <f>AVERAGE(N32:N36)</f>
        <v>50.733333333333334</v>
      </c>
      <c r="O37">
        <f>AVERAGE(O32:O36)</f>
        <v>48</v>
      </c>
      <c r="AE37" s="48" t="s">
        <v>252</v>
      </c>
      <c r="AF37">
        <f>AVERAGE(AF32:AF36)</f>
        <v>106</v>
      </c>
      <c r="AG37">
        <f>AVERAGE(AG32:AG36)</f>
        <v>123.6</v>
      </c>
      <c r="AW37" s="48" t="s">
        <v>252</v>
      </c>
      <c r="AX37">
        <f>AVERAGE(AX32:AX36)</f>
        <v>17.8</v>
      </c>
      <c r="AY37">
        <f>AVERAGE(AY32:AY36)</f>
        <v>26.747222222222224</v>
      </c>
    </row>
    <row r="40" spans="1:52">
      <c r="A40" s="12" t="s">
        <v>108</v>
      </c>
      <c r="B40" s="7">
        <v>5</v>
      </c>
      <c r="C40" s="12" t="s">
        <v>12</v>
      </c>
      <c r="D40" s="40">
        <v>19</v>
      </c>
      <c r="E40" s="7">
        <v>57</v>
      </c>
      <c r="F40" s="42">
        <v>75</v>
      </c>
      <c r="G40" s="108">
        <v>75</v>
      </c>
      <c r="H40" s="41">
        <v>26</v>
      </c>
      <c r="I40" s="7">
        <v>21</v>
      </c>
      <c r="J40" s="107">
        <v>34</v>
      </c>
      <c r="K40" s="106">
        <v>36</v>
      </c>
      <c r="L40" s="106">
        <v>41</v>
      </c>
      <c r="M40" s="40">
        <v>34</v>
      </c>
      <c r="N40">
        <f>AVERAGE(K40:M40)</f>
        <v>37</v>
      </c>
      <c r="O40">
        <f>AVERAGE(D40:M40)</f>
        <v>41.8</v>
      </c>
      <c r="P40" s="109" t="s">
        <v>13</v>
      </c>
      <c r="S40" s="12" t="s">
        <v>108</v>
      </c>
      <c r="T40" s="7">
        <v>5</v>
      </c>
      <c r="U40" s="12" t="s">
        <v>12</v>
      </c>
      <c r="V40" s="40">
        <v>31</v>
      </c>
      <c r="W40" s="7">
        <v>198</v>
      </c>
      <c r="X40" s="42">
        <v>308</v>
      </c>
      <c r="Y40" s="108">
        <v>380</v>
      </c>
      <c r="Z40" s="41">
        <v>118</v>
      </c>
      <c r="AA40" s="7">
        <v>71</v>
      </c>
      <c r="AB40" s="107">
        <v>95</v>
      </c>
      <c r="AC40" s="106">
        <v>63</v>
      </c>
      <c r="AD40" s="106">
        <v>72</v>
      </c>
      <c r="AE40" s="40">
        <v>80</v>
      </c>
      <c r="AF40">
        <f>AVERAGE(AC40:AE40)</f>
        <v>71.666666666666671</v>
      </c>
      <c r="AG40">
        <f>AVERAGE(V40:AE40)</f>
        <v>141.6</v>
      </c>
      <c r="AH40" s="109" t="s">
        <v>13</v>
      </c>
      <c r="AK40" s="12" t="s">
        <v>108</v>
      </c>
      <c r="AL40" s="7">
        <v>5</v>
      </c>
      <c r="AM40" s="12" t="s">
        <v>12</v>
      </c>
      <c r="AN40" s="40">
        <v>8</v>
      </c>
      <c r="AO40" s="7">
        <v>10</v>
      </c>
      <c r="AP40" s="42">
        <v>6</v>
      </c>
      <c r="AQ40" s="108">
        <v>14</v>
      </c>
      <c r="AR40" s="41">
        <v>11</v>
      </c>
      <c r="AS40" s="7">
        <v>0</v>
      </c>
      <c r="AT40" s="107">
        <v>3</v>
      </c>
      <c r="AU40" s="106">
        <v>8</v>
      </c>
      <c r="AV40" s="106">
        <v>4</v>
      </c>
      <c r="AW40" s="40">
        <v>9</v>
      </c>
      <c r="AX40">
        <f>AVERAGE(AU40:AW40)</f>
        <v>7</v>
      </c>
      <c r="AY40">
        <f>AVERAGE(AN40:AW40)</f>
        <v>7.3</v>
      </c>
      <c r="AZ40" s="109" t="s">
        <v>13</v>
      </c>
    </row>
    <row r="41" spans="1:52" ht="21.6">
      <c r="A41" s="99" t="s">
        <v>126</v>
      </c>
      <c r="B41" s="7">
        <v>14</v>
      </c>
      <c r="C41" s="12" t="s">
        <v>12</v>
      </c>
      <c r="D41" s="7">
        <v>42</v>
      </c>
      <c r="E41" s="8">
        <v>32</v>
      </c>
      <c r="F41" s="110">
        <v>27</v>
      </c>
      <c r="G41" s="8">
        <v>29</v>
      </c>
      <c r="H41" s="8">
        <v>52</v>
      </c>
      <c r="I41" s="7">
        <v>73</v>
      </c>
      <c r="J41" s="12">
        <v>43</v>
      </c>
      <c r="K41" s="7">
        <v>59</v>
      </c>
      <c r="L41" s="7">
        <v>67</v>
      </c>
      <c r="M41" s="7">
        <v>58</v>
      </c>
      <c r="N41">
        <f>AVERAGE(K41:M41)</f>
        <v>61.333333333333336</v>
      </c>
      <c r="O41">
        <f>AVERAGE(D41:M41)</f>
        <v>48.2</v>
      </c>
      <c r="P41" s="109" t="s">
        <v>13</v>
      </c>
      <c r="S41" s="99" t="s">
        <v>126</v>
      </c>
      <c r="T41" s="7">
        <v>14</v>
      </c>
      <c r="U41" s="12" t="s">
        <v>12</v>
      </c>
      <c r="V41" s="7">
        <v>78</v>
      </c>
      <c r="W41" s="7">
        <v>69</v>
      </c>
      <c r="X41" s="7">
        <v>45</v>
      </c>
      <c r="Y41" s="8">
        <v>65</v>
      </c>
      <c r="Z41" s="8">
        <v>140</v>
      </c>
      <c r="AA41" s="7">
        <v>211</v>
      </c>
      <c r="AB41" s="12">
        <v>110</v>
      </c>
      <c r="AC41" s="7">
        <v>121</v>
      </c>
      <c r="AD41" s="7">
        <v>123</v>
      </c>
      <c r="AE41" s="7">
        <v>133</v>
      </c>
      <c r="AF41">
        <f>AVERAGE(AC41:AE41)</f>
        <v>125.66666666666667</v>
      </c>
      <c r="AG41">
        <f>AVERAGE(V41:AE41)</f>
        <v>109.5</v>
      </c>
      <c r="AH41" s="109" t="s">
        <v>13</v>
      </c>
      <c r="AK41" s="99" t="s">
        <v>126</v>
      </c>
      <c r="AL41" s="7">
        <v>14</v>
      </c>
      <c r="AM41" s="12" t="s">
        <v>12</v>
      </c>
      <c r="AN41" s="7">
        <v>27</v>
      </c>
      <c r="AO41" s="7">
        <v>20</v>
      </c>
      <c r="AP41" s="7">
        <v>20</v>
      </c>
      <c r="AQ41" s="8">
        <v>17</v>
      </c>
      <c r="AR41" s="8">
        <v>30</v>
      </c>
      <c r="AS41" s="7">
        <v>85</v>
      </c>
      <c r="AT41" s="12">
        <v>32</v>
      </c>
      <c r="AU41" s="7">
        <v>11</v>
      </c>
      <c r="AV41" s="7">
        <v>20</v>
      </c>
      <c r="AW41" s="7">
        <v>38</v>
      </c>
      <c r="AX41">
        <f>AVERAGE(AU41:AW41)</f>
        <v>23</v>
      </c>
      <c r="AY41">
        <f>AVERAGE(AN41:AW41)</f>
        <v>30</v>
      </c>
      <c r="AZ41" s="109" t="s">
        <v>13</v>
      </c>
    </row>
    <row r="42" spans="1:52">
      <c r="M42" s="48" t="s">
        <v>252</v>
      </c>
      <c r="N42">
        <f>AVERAGE(N40:N41)</f>
        <v>49.166666666666671</v>
      </c>
      <c r="O42">
        <f>AVERAGE(O40:O41)</f>
        <v>45</v>
      </c>
      <c r="AE42" s="48" t="s">
        <v>252</v>
      </c>
      <c r="AF42">
        <f>AVERAGE(AF40:AF41)</f>
        <v>98.666666666666671</v>
      </c>
      <c r="AG42">
        <f>AVERAGE(AG40:AG41)</f>
        <v>125.55</v>
      </c>
      <c r="AW42" s="48" t="s">
        <v>252</v>
      </c>
      <c r="AX42">
        <f>AVERAGE(AX40:AX41)</f>
        <v>15</v>
      </c>
      <c r="AY42">
        <f>AVERAGE(AY40:AY41)</f>
        <v>18.649999999999999</v>
      </c>
    </row>
    <row r="46" spans="1:52">
      <c r="A46" s="12" t="s">
        <v>96</v>
      </c>
      <c r="B46" s="7">
        <v>1</v>
      </c>
      <c r="C46" s="12" t="s">
        <v>224</v>
      </c>
      <c r="D46" s="7">
        <v>65</v>
      </c>
      <c r="E46" s="7">
        <v>73</v>
      </c>
      <c r="F46" s="7">
        <v>50</v>
      </c>
      <c r="G46" s="8">
        <v>62</v>
      </c>
      <c r="H46" s="8">
        <v>54</v>
      </c>
      <c r="I46" s="7">
        <v>41</v>
      </c>
      <c r="J46" s="12">
        <v>33</v>
      </c>
      <c r="K46" s="7">
        <v>61</v>
      </c>
      <c r="L46" s="7">
        <v>21</v>
      </c>
      <c r="M46" s="7">
        <v>31</v>
      </c>
      <c r="N46">
        <f>AVERAGE(K46:M46)</f>
        <v>37.666666666666664</v>
      </c>
      <c r="O46">
        <f>AVERAGE(D46:M46)</f>
        <v>49.1</v>
      </c>
      <c r="S46" s="12" t="s">
        <v>96</v>
      </c>
      <c r="T46" s="7">
        <v>1</v>
      </c>
      <c r="U46" s="12" t="s">
        <v>224</v>
      </c>
      <c r="V46" s="7">
        <v>103</v>
      </c>
      <c r="W46" s="7">
        <v>160</v>
      </c>
      <c r="X46" s="7">
        <v>103</v>
      </c>
      <c r="Y46" s="8">
        <v>96</v>
      </c>
      <c r="Z46" s="8">
        <v>72</v>
      </c>
      <c r="AA46" s="7">
        <v>61</v>
      </c>
      <c r="AB46" s="12">
        <v>41</v>
      </c>
      <c r="AC46" s="7">
        <v>84</v>
      </c>
      <c r="AD46" s="7">
        <v>24</v>
      </c>
      <c r="AE46" s="7">
        <v>34</v>
      </c>
      <c r="AF46">
        <f>AVERAGE(AC46:AE46)</f>
        <v>47.333333333333336</v>
      </c>
      <c r="AG46">
        <f>AVERAGE(V46:AE46)</f>
        <v>77.8</v>
      </c>
      <c r="AK46" s="12" t="s">
        <v>96</v>
      </c>
      <c r="AL46" s="7">
        <v>1</v>
      </c>
      <c r="AM46" s="12" t="s">
        <v>224</v>
      </c>
      <c r="AN46" s="7">
        <v>44</v>
      </c>
      <c r="AO46" s="7">
        <v>79</v>
      </c>
      <c r="AP46" s="7">
        <v>29</v>
      </c>
      <c r="AQ46" s="8">
        <v>32</v>
      </c>
      <c r="AR46" s="8">
        <v>28</v>
      </c>
      <c r="AS46" s="7">
        <v>19</v>
      </c>
      <c r="AT46" s="12">
        <v>7</v>
      </c>
      <c r="AU46" s="7">
        <v>25</v>
      </c>
      <c r="AV46" s="7">
        <v>11</v>
      </c>
      <c r="AW46" s="7">
        <v>9</v>
      </c>
      <c r="AX46">
        <f>AVERAGE(AU46:AW46)</f>
        <v>15</v>
      </c>
      <c r="AY46">
        <f>AVERAGE(AN46:AW46)</f>
        <v>28.3</v>
      </c>
    </row>
    <row r="47" spans="1:52" ht="21.6">
      <c r="A47" s="99" t="s">
        <v>99</v>
      </c>
      <c r="B47" s="7">
        <v>2</v>
      </c>
      <c r="C47" s="12" t="s">
        <v>224</v>
      </c>
      <c r="D47" s="7">
        <v>74</v>
      </c>
      <c r="E47" s="7">
        <v>36</v>
      </c>
      <c r="F47" s="7">
        <v>26</v>
      </c>
      <c r="G47" s="8">
        <v>40</v>
      </c>
      <c r="H47" s="8">
        <v>27</v>
      </c>
      <c r="I47" s="7">
        <v>22</v>
      </c>
      <c r="J47" s="12">
        <v>19</v>
      </c>
      <c r="K47" s="7">
        <v>26</v>
      </c>
      <c r="L47" s="7">
        <v>15</v>
      </c>
      <c r="M47" s="7">
        <v>17</v>
      </c>
      <c r="N47">
        <f>AVERAGE(K47:M47)</f>
        <v>19.333333333333332</v>
      </c>
      <c r="O47">
        <f>AVERAGE(D47:M47)</f>
        <v>30.2</v>
      </c>
      <c r="S47" s="99" t="s">
        <v>99</v>
      </c>
      <c r="T47" s="7">
        <v>2</v>
      </c>
      <c r="U47" s="12" t="s">
        <v>224</v>
      </c>
      <c r="V47" s="7">
        <v>172</v>
      </c>
      <c r="W47" s="7">
        <v>109</v>
      </c>
      <c r="X47" s="7">
        <v>57</v>
      </c>
      <c r="Y47" s="8">
        <v>92</v>
      </c>
      <c r="Z47" s="8">
        <v>38</v>
      </c>
      <c r="AA47" s="7">
        <v>34</v>
      </c>
      <c r="AB47" s="12">
        <v>26</v>
      </c>
      <c r="AC47" s="7">
        <v>43</v>
      </c>
      <c r="AD47" s="7">
        <v>30</v>
      </c>
      <c r="AE47" s="7">
        <v>19</v>
      </c>
      <c r="AF47">
        <f>AVERAGE(AC47:AE47)</f>
        <v>30.666666666666668</v>
      </c>
      <c r="AG47">
        <f>AVERAGE(V47:AE47)</f>
        <v>62</v>
      </c>
      <c r="AK47" s="99" t="s">
        <v>99</v>
      </c>
      <c r="AL47" s="7">
        <v>2</v>
      </c>
      <c r="AM47" s="12" t="s">
        <v>224</v>
      </c>
      <c r="AN47" s="7">
        <v>82</v>
      </c>
      <c r="AO47" s="7">
        <v>29</v>
      </c>
      <c r="AP47" s="7">
        <v>31</v>
      </c>
      <c r="AQ47" s="8">
        <v>23</v>
      </c>
      <c r="AR47" s="8">
        <v>3</v>
      </c>
      <c r="AS47" s="7">
        <v>7</v>
      </c>
      <c r="AT47" s="12">
        <v>3</v>
      </c>
      <c r="AU47" s="7">
        <v>4</v>
      </c>
      <c r="AV47" s="7">
        <v>7</v>
      </c>
      <c r="AW47" s="7">
        <v>15</v>
      </c>
      <c r="AX47">
        <f>AVERAGE(AU47:AW47)</f>
        <v>8.6666666666666661</v>
      </c>
      <c r="AY47">
        <f>AVERAGE(AN47:AW47)</f>
        <v>20.399999999999999</v>
      </c>
    </row>
    <row r="48" spans="1:52">
      <c r="A48" s="12" t="s">
        <v>119</v>
      </c>
      <c r="B48" s="7">
        <v>9</v>
      </c>
      <c r="C48" s="12" t="s">
        <v>224</v>
      </c>
      <c r="D48" s="7">
        <v>13</v>
      </c>
      <c r="E48" s="7">
        <v>12</v>
      </c>
      <c r="F48" s="7">
        <v>14</v>
      </c>
      <c r="G48" s="8">
        <v>24</v>
      </c>
      <c r="H48" s="8">
        <v>67</v>
      </c>
      <c r="I48" s="106">
        <v>7</v>
      </c>
      <c r="J48" s="107">
        <v>5</v>
      </c>
      <c r="K48" s="106">
        <v>15</v>
      </c>
      <c r="L48" s="106">
        <v>20</v>
      </c>
      <c r="M48" s="7">
        <v>14</v>
      </c>
      <c r="N48">
        <f>AVERAGE(K48:M48)</f>
        <v>16.333333333333332</v>
      </c>
      <c r="O48">
        <f>AVERAGE(D48:M48)</f>
        <v>19.100000000000001</v>
      </c>
      <c r="S48" s="12" t="s">
        <v>119</v>
      </c>
      <c r="T48" s="7">
        <v>9</v>
      </c>
      <c r="U48" s="12" t="s">
        <v>224</v>
      </c>
      <c r="V48" s="7">
        <v>19</v>
      </c>
      <c r="W48" s="7">
        <v>16</v>
      </c>
      <c r="X48" s="7">
        <v>15</v>
      </c>
      <c r="Y48" s="8">
        <v>34</v>
      </c>
      <c r="Z48" s="8">
        <v>90</v>
      </c>
      <c r="AA48" s="106">
        <v>9</v>
      </c>
      <c r="AB48" s="107">
        <v>6</v>
      </c>
      <c r="AC48" s="106">
        <v>19</v>
      </c>
      <c r="AD48" s="106">
        <v>27</v>
      </c>
      <c r="AE48" s="7">
        <v>15</v>
      </c>
      <c r="AF48">
        <f>AVERAGE(AC48:AE48)</f>
        <v>20.333333333333332</v>
      </c>
      <c r="AG48">
        <f>AVERAGE(V48:AE48)</f>
        <v>25</v>
      </c>
      <c r="AK48" s="12" t="s">
        <v>119</v>
      </c>
      <c r="AL48" s="7">
        <v>9</v>
      </c>
      <c r="AM48" s="12" t="s">
        <v>224</v>
      </c>
      <c r="AN48" s="7">
        <v>11</v>
      </c>
      <c r="AO48" s="7">
        <v>5</v>
      </c>
      <c r="AP48" s="7">
        <v>23</v>
      </c>
      <c r="AQ48" s="8">
        <v>2</v>
      </c>
      <c r="AR48" s="8">
        <v>9</v>
      </c>
      <c r="AS48" s="106">
        <v>0</v>
      </c>
      <c r="AT48" s="107">
        <v>4</v>
      </c>
      <c r="AU48" s="106">
        <v>9</v>
      </c>
      <c r="AV48" s="106">
        <v>6</v>
      </c>
      <c r="AW48" s="7">
        <v>2</v>
      </c>
      <c r="AX48">
        <f>AVERAGE(AU48:AW48)</f>
        <v>5.666666666666667</v>
      </c>
      <c r="AY48">
        <f>AVERAGE(AN48:AW48)</f>
        <v>7.1</v>
      </c>
    </row>
    <row r="49" spans="1:51">
      <c r="A49" s="12" t="s">
        <v>122</v>
      </c>
      <c r="B49" s="7">
        <v>10</v>
      </c>
      <c r="C49" s="12" t="s">
        <v>224</v>
      </c>
      <c r="D49" s="67">
        <v>43</v>
      </c>
      <c r="E49" s="7">
        <v>36</v>
      </c>
      <c r="F49" s="7">
        <v>42</v>
      </c>
      <c r="G49" s="8">
        <v>16</v>
      </c>
      <c r="H49" s="8">
        <v>38</v>
      </c>
      <c r="I49" s="7">
        <v>14</v>
      </c>
      <c r="J49" s="12">
        <v>9</v>
      </c>
      <c r="K49" s="7">
        <v>17</v>
      </c>
      <c r="L49" s="7">
        <v>8</v>
      </c>
      <c r="M49" s="7">
        <v>6</v>
      </c>
      <c r="N49">
        <f>AVERAGE(K49:M49)</f>
        <v>10.333333333333334</v>
      </c>
      <c r="O49">
        <f>AVERAGE(D49:M49)</f>
        <v>22.9</v>
      </c>
      <c r="S49" s="12" t="s">
        <v>122</v>
      </c>
      <c r="T49" s="7">
        <v>10</v>
      </c>
      <c r="U49" s="12" t="s">
        <v>224</v>
      </c>
      <c r="V49" s="67">
        <v>66</v>
      </c>
      <c r="W49" s="7">
        <v>82</v>
      </c>
      <c r="X49" s="7">
        <v>157</v>
      </c>
      <c r="Y49" s="8">
        <v>40</v>
      </c>
      <c r="Z49" s="8">
        <v>104</v>
      </c>
      <c r="AA49" s="7">
        <v>23</v>
      </c>
      <c r="AB49" s="12">
        <v>17</v>
      </c>
      <c r="AC49" s="7">
        <v>23</v>
      </c>
      <c r="AD49" s="7">
        <v>18</v>
      </c>
      <c r="AE49" s="7">
        <v>9</v>
      </c>
      <c r="AF49">
        <f>AVERAGE(AC49:AE49)</f>
        <v>16.666666666666668</v>
      </c>
      <c r="AG49">
        <f>AVERAGE(V49:AE49)</f>
        <v>53.9</v>
      </c>
      <c r="AK49" s="12" t="s">
        <v>122</v>
      </c>
      <c r="AL49" s="7">
        <v>10</v>
      </c>
      <c r="AM49" s="12" t="s">
        <v>224</v>
      </c>
      <c r="AN49" s="67">
        <v>21</v>
      </c>
      <c r="AO49" s="7">
        <v>14</v>
      </c>
      <c r="AP49" s="7">
        <v>12</v>
      </c>
      <c r="AQ49" s="8">
        <v>58</v>
      </c>
      <c r="AR49" s="8">
        <v>9</v>
      </c>
      <c r="AS49" s="7">
        <v>4</v>
      </c>
      <c r="AT49" s="12">
        <v>3</v>
      </c>
      <c r="AU49" s="7">
        <v>4</v>
      </c>
      <c r="AV49" s="7">
        <v>0</v>
      </c>
      <c r="AW49" s="7">
        <v>4</v>
      </c>
      <c r="AX49">
        <f>AVERAGE(AU49:AW49)</f>
        <v>2.6666666666666665</v>
      </c>
      <c r="AY49">
        <f>AVERAGE(AN49:AW49)</f>
        <v>12.9</v>
      </c>
    </row>
  </sheetData>
  <sortState xmlns:xlrd2="http://schemas.microsoft.com/office/spreadsheetml/2017/richdata2" ref="AK24:AY35">
    <sortCondition ref="AL24:AL35" customList="3,12,4,11,8,6,7,13,16,15,5,14"/>
  </sortState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5CE0-E6F3-4A36-A55E-9A730DA6F330}">
  <dimension ref="A1:N105"/>
  <sheetViews>
    <sheetView workbookViewId="0"/>
  </sheetViews>
  <sheetFormatPr defaultRowHeight="14.45"/>
  <cols>
    <col min="1" max="1" width="23" customWidth="1"/>
    <col min="3" max="3" width="14.7109375" customWidth="1"/>
    <col min="4" max="4" width="9.85546875" bestFit="1" customWidth="1"/>
    <col min="5" max="5" width="10.7109375" customWidth="1"/>
    <col min="6" max="6" width="10" customWidth="1"/>
    <col min="7" max="8" width="10.28515625" customWidth="1"/>
    <col min="9" max="10" width="10" customWidth="1"/>
    <col min="11" max="11" width="10.140625" customWidth="1"/>
    <col min="12" max="12" width="10.28515625" customWidth="1"/>
    <col min="13" max="14" width="10.42578125" customWidth="1"/>
  </cols>
  <sheetData>
    <row r="1" spans="1:5">
      <c r="A1" t="s">
        <v>237</v>
      </c>
    </row>
    <row r="2" spans="1:5">
      <c r="A2" t="s">
        <v>266</v>
      </c>
      <c r="E2" t="s">
        <v>267</v>
      </c>
    </row>
    <row r="3" spans="1:5">
      <c r="A3" t="s">
        <v>203</v>
      </c>
    </row>
    <row r="5" spans="1:5">
      <c r="A5" t="s">
        <v>9</v>
      </c>
    </row>
    <row r="6" spans="1:5">
      <c r="A6" t="s">
        <v>132</v>
      </c>
      <c r="B6" t="s">
        <v>133</v>
      </c>
    </row>
    <row r="7" spans="1:5">
      <c r="A7" t="s">
        <v>135</v>
      </c>
      <c r="B7" t="s">
        <v>136</v>
      </c>
    </row>
    <row r="8" spans="1:5">
      <c r="A8" t="s">
        <v>138</v>
      </c>
      <c r="B8" t="s">
        <v>139</v>
      </c>
    </row>
    <row r="9" spans="1:5">
      <c r="A9" t="s">
        <v>141</v>
      </c>
      <c r="B9" t="s">
        <v>83</v>
      </c>
    </row>
    <row r="10" spans="1:5">
      <c r="A10" t="s">
        <v>143</v>
      </c>
      <c r="B10" t="s">
        <v>144</v>
      </c>
    </row>
    <row r="11" spans="1:5">
      <c r="A11" t="s">
        <v>146</v>
      </c>
      <c r="B11" t="s">
        <v>147</v>
      </c>
    </row>
    <row r="12" spans="1:5">
      <c r="A12" t="s">
        <v>149</v>
      </c>
      <c r="B12" t="s">
        <v>150</v>
      </c>
    </row>
    <row r="13" spans="1:5">
      <c r="A13" t="s">
        <v>152</v>
      </c>
      <c r="B13" t="s">
        <v>153</v>
      </c>
    </row>
    <row r="14" spans="1:5">
      <c r="A14" t="s">
        <v>155</v>
      </c>
      <c r="B14" t="s">
        <v>156</v>
      </c>
    </row>
    <row r="16" spans="1:5">
      <c r="A16" s="122" t="s">
        <v>268</v>
      </c>
    </row>
    <row r="17" spans="1:14">
      <c r="A17" s="68" t="s">
        <v>269</v>
      </c>
    </row>
    <row r="18" spans="1:14">
      <c r="A18" s="125" t="s">
        <v>270</v>
      </c>
    </row>
    <row r="19" spans="1:14">
      <c r="A19" s="10"/>
      <c r="H19" s="10"/>
    </row>
    <row r="20" spans="1:14">
      <c r="A20" s="10"/>
    </row>
    <row r="21" spans="1:14">
      <c r="A21" s="10"/>
    </row>
    <row r="22" spans="1:14">
      <c r="A22" s="112"/>
    </row>
    <row r="24" spans="1:14">
      <c r="A24" s="10"/>
      <c r="B24" s="10"/>
      <c r="C24" s="10" t="s">
        <v>208</v>
      </c>
      <c r="D24" s="58" t="s">
        <v>209</v>
      </c>
      <c r="E24" s="58" t="s">
        <v>209</v>
      </c>
      <c r="F24" s="58" t="s">
        <v>209</v>
      </c>
      <c r="G24" s="58" t="s">
        <v>209</v>
      </c>
      <c r="H24" s="58" t="s">
        <v>209</v>
      </c>
      <c r="I24" s="58" t="s">
        <v>209</v>
      </c>
      <c r="J24" s="58" t="s">
        <v>209</v>
      </c>
      <c r="K24" s="58" t="s">
        <v>209</v>
      </c>
      <c r="L24" s="58" t="s">
        <v>209</v>
      </c>
      <c r="M24" s="58" t="s">
        <v>209</v>
      </c>
      <c r="N24" s="58" t="s">
        <v>209</v>
      </c>
    </row>
    <row r="25" spans="1:14">
      <c r="A25" s="10" t="s">
        <v>210</v>
      </c>
      <c r="B25" s="10"/>
      <c r="C25" s="10"/>
      <c r="D25" s="5" t="s">
        <v>211</v>
      </c>
      <c r="E25" s="5" t="s">
        <v>212</v>
      </c>
      <c r="F25" s="5" t="s">
        <v>213</v>
      </c>
      <c r="G25" s="5" t="s">
        <v>214</v>
      </c>
      <c r="H25" s="5" t="s">
        <v>215</v>
      </c>
      <c r="I25" s="5" t="s">
        <v>217</v>
      </c>
      <c r="J25" s="5" t="s">
        <v>218</v>
      </c>
      <c r="K25" s="5" t="s">
        <v>216</v>
      </c>
      <c r="L25" s="5" t="s">
        <v>219</v>
      </c>
      <c r="M25" s="5" t="s">
        <v>220</v>
      </c>
      <c r="N25" s="5" t="s">
        <v>221</v>
      </c>
    </row>
    <row r="26" spans="1:14">
      <c r="A26" s="10" t="s">
        <v>222</v>
      </c>
      <c r="B26" s="10" t="s">
        <v>223</v>
      </c>
      <c r="C26" s="10" t="s">
        <v>8</v>
      </c>
      <c r="D26" s="2">
        <v>44333</v>
      </c>
      <c r="E26" s="2">
        <v>44334</v>
      </c>
      <c r="F26" s="2">
        <v>44335</v>
      </c>
      <c r="G26" s="2">
        <v>44336</v>
      </c>
      <c r="H26" s="2">
        <v>44337</v>
      </c>
      <c r="I26" s="2">
        <v>44338</v>
      </c>
      <c r="J26" s="2">
        <v>44339</v>
      </c>
      <c r="K26" s="2">
        <v>44340</v>
      </c>
      <c r="L26" s="2">
        <v>44341</v>
      </c>
      <c r="M26" s="2">
        <v>44342</v>
      </c>
      <c r="N26" s="2">
        <v>44343</v>
      </c>
    </row>
    <row r="27" spans="1:14">
      <c r="A27" s="102" t="s">
        <v>131</v>
      </c>
      <c r="B27" s="6">
        <v>1</v>
      </c>
      <c r="C27" s="12" t="s">
        <v>12</v>
      </c>
      <c r="D27" s="7"/>
      <c r="E27" s="7">
        <v>451</v>
      </c>
      <c r="F27" s="7"/>
      <c r="G27" s="8"/>
      <c r="H27" s="8"/>
      <c r="I27" s="7">
        <v>395</v>
      </c>
      <c r="J27" s="7"/>
      <c r="K27" s="82"/>
      <c r="L27" s="7">
        <v>391</v>
      </c>
      <c r="M27" s="7"/>
      <c r="N27" s="7"/>
    </row>
    <row r="28" spans="1:14">
      <c r="A28" s="113" t="s">
        <v>134</v>
      </c>
      <c r="B28" s="6">
        <v>2</v>
      </c>
      <c r="C28" s="12" t="s">
        <v>12</v>
      </c>
      <c r="D28" s="7"/>
      <c r="E28" s="7">
        <v>442</v>
      </c>
      <c r="F28" s="7"/>
      <c r="G28" s="8"/>
      <c r="H28" s="8"/>
      <c r="I28" s="7">
        <v>474</v>
      </c>
      <c r="J28" s="7"/>
      <c r="K28" s="82"/>
      <c r="L28" s="7">
        <v>465</v>
      </c>
      <c r="M28" s="7"/>
      <c r="N28" s="7"/>
    </row>
    <row r="29" spans="1:14">
      <c r="A29" s="102" t="s">
        <v>137</v>
      </c>
      <c r="B29" s="6">
        <v>3</v>
      </c>
      <c r="C29" s="12" t="s">
        <v>12</v>
      </c>
      <c r="D29" s="7"/>
      <c r="E29" s="7">
        <v>361</v>
      </c>
      <c r="F29" s="7"/>
      <c r="G29" s="8"/>
      <c r="H29" s="8"/>
      <c r="I29" s="7">
        <v>345</v>
      </c>
      <c r="J29" s="7"/>
      <c r="K29" s="82"/>
      <c r="L29" s="7">
        <v>342</v>
      </c>
      <c r="M29" s="7"/>
      <c r="N29" s="7"/>
    </row>
    <row r="30" spans="1:14" ht="24.75" customHeight="1">
      <c r="A30" s="114" t="s">
        <v>140</v>
      </c>
      <c r="B30" s="6">
        <v>4</v>
      </c>
      <c r="C30" s="12" t="s">
        <v>224</v>
      </c>
      <c r="D30" s="7"/>
      <c r="E30" s="7">
        <v>398</v>
      </c>
      <c r="F30" s="7"/>
      <c r="G30" s="8"/>
      <c r="H30" s="8"/>
      <c r="I30" s="7">
        <v>424</v>
      </c>
      <c r="J30" s="7"/>
      <c r="K30" s="82"/>
      <c r="L30" s="7">
        <v>437</v>
      </c>
      <c r="M30" s="7"/>
      <c r="N30" s="7"/>
    </row>
    <row r="31" spans="1:14">
      <c r="A31" s="102" t="s">
        <v>142</v>
      </c>
      <c r="B31" s="6">
        <v>5</v>
      </c>
      <c r="C31" s="12" t="s">
        <v>224</v>
      </c>
      <c r="D31" s="7"/>
      <c r="E31" s="7">
        <v>365</v>
      </c>
      <c r="F31" s="7"/>
      <c r="G31" s="8"/>
      <c r="H31" s="8"/>
      <c r="I31" s="7">
        <v>437</v>
      </c>
      <c r="J31" s="7"/>
      <c r="K31" s="82"/>
      <c r="L31" s="7">
        <v>431</v>
      </c>
      <c r="M31" s="7"/>
      <c r="N31" s="7"/>
    </row>
    <row r="32" spans="1:14">
      <c r="A32" s="102" t="s">
        <v>145</v>
      </c>
      <c r="B32" s="6">
        <v>6</v>
      </c>
      <c r="C32" s="12" t="s">
        <v>12</v>
      </c>
      <c r="D32" s="7"/>
      <c r="E32" s="7">
        <v>405</v>
      </c>
      <c r="F32" s="123"/>
      <c r="G32" s="123"/>
      <c r="H32" s="126"/>
      <c r="I32" s="79">
        <v>410</v>
      </c>
      <c r="J32" s="79"/>
      <c r="K32" s="83"/>
      <c r="L32" s="7">
        <v>418</v>
      </c>
      <c r="M32" s="123"/>
      <c r="N32" s="123"/>
    </row>
    <row r="33" spans="1:14" ht="21.75" customHeight="1">
      <c r="A33" s="114" t="s">
        <v>148</v>
      </c>
      <c r="B33" s="6">
        <v>7</v>
      </c>
      <c r="C33" s="12" t="s">
        <v>12</v>
      </c>
      <c r="D33" s="7"/>
      <c r="E33" s="7">
        <v>394</v>
      </c>
      <c r="F33" s="7"/>
      <c r="G33" s="8"/>
      <c r="H33" s="8"/>
      <c r="I33" s="7">
        <v>404</v>
      </c>
      <c r="J33" s="7"/>
      <c r="K33" s="84"/>
      <c r="L33" s="10">
        <v>384</v>
      </c>
      <c r="M33" s="7"/>
      <c r="N33" s="7"/>
    </row>
    <row r="34" spans="1:14">
      <c r="A34" s="102" t="s">
        <v>151</v>
      </c>
      <c r="B34" s="6">
        <v>8</v>
      </c>
      <c r="C34" s="12" t="s">
        <v>12</v>
      </c>
      <c r="D34" s="7"/>
      <c r="E34" s="7">
        <v>438</v>
      </c>
      <c r="F34" s="7"/>
      <c r="G34" s="8"/>
      <c r="H34" s="8"/>
      <c r="I34" s="80">
        <v>436</v>
      </c>
      <c r="J34" s="80"/>
      <c r="K34" s="85"/>
      <c r="L34" s="7">
        <v>402</v>
      </c>
      <c r="M34" s="7"/>
      <c r="N34" s="7"/>
    </row>
    <row r="35" spans="1:14">
      <c r="A35" s="102" t="s">
        <v>154</v>
      </c>
      <c r="B35" s="6">
        <v>9</v>
      </c>
      <c r="C35" s="12" t="s">
        <v>224</v>
      </c>
      <c r="D35" s="7"/>
      <c r="E35" s="7">
        <v>392</v>
      </c>
      <c r="F35" s="7"/>
      <c r="G35" s="8"/>
      <c r="H35" s="8"/>
      <c r="I35" s="7">
        <v>411</v>
      </c>
      <c r="J35" s="7"/>
      <c r="K35" s="82"/>
      <c r="L35" s="7">
        <v>418</v>
      </c>
      <c r="M35" s="7"/>
      <c r="N35" s="7"/>
    </row>
    <row r="36" spans="1:14">
      <c r="A36" s="102" t="s">
        <v>157</v>
      </c>
      <c r="B36" s="6">
        <v>10</v>
      </c>
      <c r="C36" s="12" t="s">
        <v>224</v>
      </c>
      <c r="D36" s="123"/>
      <c r="E36" s="7">
        <v>342</v>
      </c>
      <c r="F36" s="69"/>
      <c r="G36" s="124"/>
      <c r="H36" s="124"/>
      <c r="I36" s="69">
        <v>371</v>
      </c>
      <c r="J36" s="69"/>
      <c r="K36" s="82"/>
      <c r="L36" s="69">
        <v>368</v>
      </c>
      <c r="M36" s="69"/>
      <c r="N36" s="69"/>
    </row>
    <row r="37" spans="1:14">
      <c r="A37" s="102" t="s">
        <v>158</v>
      </c>
      <c r="B37" s="6">
        <v>11</v>
      </c>
      <c r="C37" s="12" t="s">
        <v>12</v>
      </c>
      <c r="D37" s="7"/>
      <c r="E37" s="7">
        <v>352</v>
      </c>
      <c r="F37" s="7"/>
      <c r="G37" s="7"/>
      <c r="H37" s="7"/>
      <c r="I37" s="81">
        <v>369</v>
      </c>
      <c r="J37" s="81"/>
      <c r="K37" s="84"/>
      <c r="L37" s="127">
        <v>359</v>
      </c>
      <c r="M37" s="7"/>
      <c r="N37" s="7"/>
    </row>
    <row r="38" spans="1:14">
      <c r="A38" s="102" t="s">
        <v>159</v>
      </c>
      <c r="B38" s="6">
        <v>12</v>
      </c>
      <c r="C38" s="12" t="s">
        <v>12</v>
      </c>
      <c r="D38" s="7"/>
      <c r="E38" s="7">
        <v>364</v>
      </c>
      <c r="F38" s="7"/>
      <c r="G38" s="8"/>
      <c r="H38" s="8"/>
      <c r="I38" s="7">
        <v>377</v>
      </c>
      <c r="J38" s="7"/>
      <c r="K38" s="82"/>
      <c r="L38" s="7">
        <v>368</v>
      </c>
      <c r="M38" s="7"/>
      <c r="N38" s="7"/>
    </row>
    <row r="39" spans="1:14">
      <c r="A39" s="102" t="s">
        <v>160</v>
      </c>
      <c r="B39" s="6">
        <v>13</v>
      </c>
      <c r="C39" s="12" t="s">
        <v>12</v>
      </c>
      <c r="D39" s="7"/>
      <c r="E39" s="7">
        <v>389</v>
      </c>
      <c r="F39" s="7"/>
      <c r="G39" s="8"/>
      <c r="H39" s="8"/>
      <c r="I39" s="7">
        <v>365</v>
      </c>
      <c r="J39" s="7"/>
      <c r="K39" s="82"/>
      <c r="L39" s="7">
        <v>388</v>
      </c>
      <c r="M39" s="7"/>
      <c r="N39" s="7"/>
    </row>
    <row r="40" spans="1:14">
      <c r="A40" s="115" t="s">
        <v>161</v>
      </c>
      <c r="B40" s="6">
        <v>14</v>
      </c>
      <c r="C40" s="12" t="s">
        <v>12</v>
      </c>
      <c r="D40" s="7"/>
      <c r="E40" s="7">
        <v>407</v>
      </c>
      <c r="F40" s="7"/>
      <c r="G40" s="8"/>
      <c r="H40" s="8"/>
      <c r="I40" s="7">
        <v>396</v>
      </c>
      <c r="J40" s="7"/>
      <c r="K40" s="82"/>
      <c r="L40" s="7">
        <v>372</v>
      </c>
      <c r="M40" s="123"/>
      <c r="N40" s="7"/>
    </row>
    <row r="41" spans="1:14">
      <c r="A41" s="102" t="s">
        <v>163</v>
      </c>
      <c r="B41" s="6">
        <v>15</v>
      </c>
      <c r="C41" s="12" t="s">
        <v>12</v>
      </c>
      <c r="D41" s="7"/>
      <c r="E41" s="7">
        <v>416</v>
      </c>
      <c r="F41" s="7"/>
      <c r="G41" s="8"/>
      <c r="H41" s="8"/>
      <c r="I41" s="7">
        <v>390</v>
      </c>
      <c r="J41" s="7"/>
      <c r="K41" s="82"/>
      <c r="L41" s="127">
        <v>381</v>
      </c>
      <c r="M41" s="7"/>
      <c r="N41" s="7"/>
    </row>
    <row r="42" spans="1:14">
      <c r="A42" s="113" t="s">
        <v>164</v>
      </c>
      <c r="B42" s="6">
        <v>16</v>
      </c>
      <c r="C42" s="12" t="s">
        <v>12</v>
      </c>
      <c r="D42" s="7"/>
      <c r="E42" s="7">
        <v>351</v>
      </c>
      <c r="F42" s="7"/>
      <c r="G42" s="8"/>
      <c r="H42" s="8"/>
      <c r="I42" s="7">
        <v>357</v>
      </c>
      <c r="J42" s="7"/>
      <c r="K42" s="82"/>
      <c r="L42" s="7">
        <v>355</v>
      </c>
      <c r="M42" s="7"/>
      <c r="N42" s="7"/>
    </row>
    <row r="45" spans="1:14">
      <c r="A45" s="10"/>
      <c r="B45" s="10"/>
      <c r="C45" s="10" t="s">
        <v>208</v>
      </c>
      <c r="D45" s="13" t="s">
        <v>225</v>
      </c>
      <c r="E45" s="13" t="s">
        <v>225</v>
      </c>
      <c r="F45" s="13" t="s">
        <v>225</v>
      </c>
      <c r="G45" s="13" t="s">
        <v>225</v>
      </c>
      <c r="H45" s="13" t="s">
        <v>225</v>
      </c>
      <c r="I45" s="13" t="s">
        <v>225</v>
      </c>
      <c r="J45" s="13" t="s">
        <v>225</v>
      </c>
      <c r="K45" s="13" t="s">
        <v>225</v>
      </c>
      <c r="L45" s="13" t="s">
        <v>225</v>
      </c>
      <c r="M45" s="13" t="s">
        <v>225</v>
      </c>
      <c r="N45" s="13" t="s">
        <v>225</v>
      </c>
    </row>
    <row r="46" spans="1:14">
      <c r="A46" s="5" t="s">
        <v>226</v>
      </c>
      <c r="B46" s="10"/>
      <c r="C46" s="10"/>
      <c r="D46" s="5" t="s">
        <v>211</v>
      </c>
      <c r="E46" s="5" t="s">
        <v>212</v>
      </c>
      <c r="F46" s="5" t="s">
        <v>213</v>
      </c>
      <c r="G46" s="5" t="s">
        <v>214</v>
      </c>
      <c r="H46" s="5" t="s">
        <v>215</v>
      </c>
      <c r="I46" s="5" t="s">
        <v>217</v>
      </c>
      <c r="J46" s="5" t="s">
        <v>218</v>
      </c>
      <c r="K46" s="5" t="s">
        <v>216</v>
      </c>
      <c r="L46" s="5" t="s">
        <v>219</v>
      </c>
      <c r="M46" s="5" t="s">
        <v>220</v>
      </c>
      <c r="N46" s="5" t="s">
        <v>221</v>
      </c>
    </row>
    <row r="47" spans="1:14">
      <c r="A47" s="10" t="s">
        <v>222</v>
      </c>
      <c r="B47" s="10" t="s">
        <v>223</v>
      </c>
      <c r="C47" s="10" t="s">
        <v>8</v>
      </c>
      <c r="D47" s="2">
        <v>44333</v>
      </c>
      <c r="E47" s="2">
        <v>44334</v>
      </c>
      <c r="F47" s="2">
        <v>44335</v>
      </c>
      <c r="G47" s="2">
        <v>44336</v>
      </c>
      <c r="H47" s="2">
        <v>44337</v>
      </c>
      <c r="I47" s="2">
        <v>44338</v>
      </c>
      <c r="J47" s="2">
        <v>44339</v>
      </c>
      <c r="K47" s="2">
        <v>44340</v>
      </c>
      <c r="L47" s="2">
        <v>44341</v>
      </c>
      <c r="M47" s="2">
        <v>44342</v>
      </c>
      <c r="N47" s="2">
        <v>44343</v>
      </c>
    </row>
    <row r="48" spans="1:14">
      <c r="A48" s="102" t="s">
        <v>131</v>
      </c>
      <c r="B48" s="6">
        <v>1</v>
      </c>
      <c r="C48" s="12" t="s">
        <v>12</v>
      </c>
      <c r="D48" s="7">
        <v>32</v>
      </c>
      <c r="E48" s="7">
        <v>75</v>
      </c>
      <c r="F48" s="7">
        <v>75</v>
      </c>
      <c r="G48" s="8">
        <v>75</v>
      </c>
      <c r="H48" s="8">
        <v>75</v>
      </c>
      <c r="I48" s="7">
        <v>75</v>
      </c>
      <c r="J48" s="7">
        <v>75</v>
      </c>
      <c r="K48" s="82"/>
      <c r="L48" s="7">
        <v>75</v>
      </c>
      <c r="M48" s="7">
        <v>75</v>
      </c>
      <c r="N48" s="7">
        <v>75</v>
      </c>
    </row>
    <row r="49" spans="1:14">
      <c r="A49" s="113" t="s">
        <v>134</v>
      </c>
      <c r="B49" s="6">
        <v>2</v>
      </c>
      <c r="C49" s="12" t="s">
        <v>12</v>
      </c>
      <c r="D49" s="7">
        <v>10</v>
      </c>
      <c r="E49" s="7">
        <v>14</v>
      </c>
      <c r="F49" s="7">
        <v>23</v>
      </c>
      <c r="G49" s="8">
        <v>41</v>
      </c>
      <c r="H49" s="8">
        <v>75</v>
      </c>
      <c r="I49" s="7">
        <v>75</v>
      </c>
      <c r="J49" s="7">
        <v>75</v>
      </c>
      <c r="K49" s="82"/>
      <c r="L49" s="7">
        <v>75</v>
      </c>
      <c r="M49" s="7">
        <v>75</v>
      </c>
      <c r="N49" s="7">
        <v>75</v>
      </c>
    </row>
    <row r="50" spans="1:14">
      <c r="A50" s="102" t="s">
        <v>137</v>
      </c>
      <c r="B50" s="6">
        <v>3</v>
      </c>
      <c r="C50" s="12" t="s">
        <v>12</v>
      </c>
      <c r="D50" s="7">
        <v>15</v>
      </c>
      <c r="E50" s="7">
        <v>26</v>
      </c>
      <c r="F50" s="7">
        <v>27</v>
      </c>
      <c r="G50" s="8">
        <v>37</v>
      </c>
      <c r="H50" s="8">
        <v>34</v>
      </c>
      <c r="I50" s="7">
        <v>38</v>
      </c>
      <c r="J50" s="7">
        <v>75</v>
      </c>
      <c r="K50" s="82"/>
      <c r="L50" s="7">
        <v>75</v>
      </c>
      <c r="M50" s="7">
        <v>75</v>
      </c>
      <c r="N50" s="7">
        <v>75</v>
      </c>
    </row>
    <row r="51" spans="1:14" ht="21.6">
      <c r="A51" s="114" t="s">
        <v>140</v>
      </c>
      <c r="B51" s="6">
        <v>4</v>
      </c>
      <c r="C51" s="12" t="s">
        <v>224</v>
      </c>
      <c r="D51" s="7">
        <v>50</v>
      </c>
      <c r="E51" s="7">
        <v>37</v>
      </c>
      <c r="F51" s="7">
        <v>27</v>
      </c>
      <c r="G51" s="8">
        <v>12</v>
      </c>
      <c r="H51" s="8">
        <v>17</v>
      </c>
      <c r="I51" s="7">
        <v>14</v>
      </c>
      <c r="J51" s="7">
        <v>14</v>
      </c>
      <c r="K51" s="82"/>
      <c r="L51" s="7">
        <v>35</v>
      </c>
      <c r="M51" s="7">
        <v>25</v>
      </c>
      <c r="N51" s="7">
        <v>22</v>
      </c>
    </row>
    <row r="52" spans="1:14">
      <c r="A52" s="102" t="s">
        <v>142</v>
      </c>
      <c r="B52" s="6">
        <v>5</v>
      </c>
      <c r="C52" s="12" t="s">
        <v>224</v>
      </c>
      <c r="D52" s="7">
        <v>11</v>
      </c>
      <c r="E52" s="7">
        <v>49</v>
      </c>
      <c r="F52" s="7">
        <v>67</v>
      </c>
      <c r="G52" s="8">
        <v>70</v>
      </c>
      <c r="H52" s="8">
        <v>60</v>
      </c>
      <c r="I52" s="7">
        <v>47</v>
      </c>
      <c r="J52" s="7">
        <v>66</v>
      </c>
      <c r="K52" s="82"/>
      <c r="L52" s="7">
        <v>75</v>
      </c>
      <c r="M52" s="7">
        <v>50</v>
      </c>
      <c r="N52" s="7">
        <v>42</v>
      </c>
    </row>
    <row r="53" spans="1:14">
      <c r="A53" s="102" t="s">
        <v>145</v>
      </c>
      <c r="B53" s="6">
        <v>6</v>
      </c>
      <c r="C53" s="12" t="s">
        <v>12</v>
      </c>
      <c r="D53" s="7">
        <v>41</v>
      </c>
      <c r="E53" s="7">
        <v>35</v>
      </c>
      <c r="F53" s="123">
        <v>34</v>
      </c>
      <c r="G53" s="123">
        <v>21</v>
      </c>
      <c r="H53" s="126">
        <v>36</v>
      </c>
      <c r="I53" s="79">
        <v>24</v>
      </c>
      <c r="J53" s="79">
        <v>16</v>
      </c>
      <c r="K53" s="83"/>
      <c r="L53" s="7">
        <v>39</v>
      </c>
      <c r="M53" s="123">
        <v>26</v>
      </c>
      <c r="N53" s="123">
        <v>23</v>
      </c>
    </row>
    <row r="54" spans="1:14" ht="21.6">
      <c r="A54" s="114" t="s">
        <v>148</v>
      </c>
      <c r="B54" s="6">
        <v>7</v>
      </c>
      <c r="C54" s="12" t="s">
        <v>12</v>
      </c>
      <c r="D54" s="7">
        <v>15</v>
      </c>
      <c r="E54" s="7">
        <v>28</v>
      </c>
      <c r="F54" s="7">
        <v>37</v>
      </c>
      <c r="G54" s="8">
        <v>45</v>
      </c>
      <c r="H54" s="8">
        <v>51</v>
      </c>
      <c r="I54" s="7">
        <v>53</v>
      </c>
      <c r="J54" s="7">
        <v>75</v>
      </c>
      <c r="K54" s="84"/>
      <c r="L54" s="10">
        <v>75</v>
      </c>
      <c r="M54" s="7">
        <v>75</v>
      </c>
      <c r="N54" s="7">
        <v>75</v>
      </c>
    </row>
    <row r="55" spans="1:14">
      <c r="A55" s="102" t="s">
        <v>151</v>
      </c>
      <c r="B55" s="6">
        <v>8</v>
      </c>
      <c r="C55" s="12" t="s">
        <v>12</v>
      </c>
      <c r="D55" s="7">
        <v>17</v>
      </c>
      <c r="E55" s="7">
        <v>31</v>
      </c>
      <c r="F55" s="7">
        <v>40</v>
      </c>
      <c r="G55" s="8">
        <v>36</v>
      </c>
      <c r="H55" s="8">
        <v>41</v>
      </c>
      <c r="I55" s="80">
        <v>41</v>
      </c>
      <c r="J55" s="80">
        <v>41</v>
      </c>
      <c r="K55" s="85"/>
      <c r="L55" s="7">
        <v>61</v>
      </c>
      <c r="M55" s="7">
        <v>75</v>
      </c>
      <c r="N55" s="7">
        <v>75</v>
      </c>
    </row>
    <row r="56" spans="1:14">
      <c r="A56" s="102" t="s">
        <v>154</v>
      </c>
      <c r="B56" s="6">
        <v>9</v>
      </c>
      <c r="C56" s="12" t="s">
        <v>224</v>
      </c>
      <c r="D56" s="7">
        <v>17</v>
      </c>
      <c r="E56" s="7">
        <v>24</v>
      </c>
      <c r="F56" s="7">
        <v>23</v>
      </c>
      <c r="G56" s="8">
        <v>18</v>
      </c>
      <c r="H56" s="8">
        <v>5</v>
      </c>
      <c r="I56" s="7">
        <v>8</v>
      </c>
      <c r="J56" s="7">
        <v>8</v>
      </c>
      <c r="K56" s="82"/>
      <c r="L56" s="7">
        <v>8</v>
      </c>
      <c r="M56" s="7">
        <v>3</v>
      </c>
      <c r="N56" s="7">
        <v>4</v>
      </c>
    </row>
    <row r="57" spans="1:14">
      <c r="A57" s="102" t="s">
        <v>157</v>
      </c>
      <c r="B57" s="6">
        <v>10</v>
      </c>
      <c r="C57" s="12" t="s">
        <v>224</v>
      </c>
      <c r="D57" s="123">
        <v>47</v>
      </c>
      <c r="E57" s="7">
        <v>19</v>
      </c>
      <c r="F57" s="69">
        <v>32</v>
      </c>
      <c r="G57" s="124">
        <v>30</v>
      </c>
      <c r="H57" s="124">
        <v>27</v>
      </c>
      <c r="I57" s="69">
        <v>9</v>
      </c>
      <c r="J57" s="69">
        <v>9</v>
      </c>
      <c r="K57" s="82"/>
      <c r="L57" s="69">
        <v>27</v>
      </c>
      <c r="M57" s="69">
        <v>13</v>
      </c>
      <c r="N57" s="69">
        <v>16</v>
      </c>
    </row>
    <row r="58" spans="1:14">
      <c r="A58" s="102" t="s">
        <v>158</v>
      </c>
      <c r="B58" s="6">
        <v>11</v>
      </c>
      <c r="C58" s="12" t="s">
        <v>12</v>
      </c>
      <c r="D58" s="7">
        <v>9</v>
      </c>
      <c r="E58" s="7">
        <v>17</v>
      </c>
      <c r="F58" s="7">
        <v>30</v>
      </c>
      <c r="G58" s="7">
        <v>32</v>
      </c>
      <c r="H58" s="7">
        <v>41</v>
      </c>
      <c r="I58" s="81">
        <v>39</v>
      </c>
      <c r="J58" s="81">
        <v>37</v>
      </c>
      <c r="K58" s="84"/>
      <c r="L58" s="127">
        <v>75</v>
      </c>
      <c r="M58" s="7">
        <v>24</v>
      </c>
      <c r="N58" s="7">
        <v>32</v>
      </c>
    </row>
    <row r="59" spans="1:14">
      <c r="A59" s="102" t="s">
        <v>159</v>
      </c>
      <c r="B59" s="6">
        <v>12</v>
      </c>
      <c r="C59" s="12" t="s">
        <v>12</v>
      </c>
      <c r="D59" s="7">
        <v>18</v>
      </c>
      <c r="E59" s="7">
        <v>31</v>
      </c>
      <c r="F59" s="7">
        <v>41</v>
      </c>
      <c r="G59" s="8">
        <v>52</v>
      </c>
      <c r="H59" s="8">
        <v>68</v>
      </c>
      <c r="I59" s="7">
        <v>74</v>
      </c>
      <c r="J59" s="7">
        <v>75</v>
      </c>
      <c r="K59" s="82"/>
      <c r="L59" s="7">
        <v>75</v>
      </c>
      <c r="M59" s="7">
        <v>75</v>
      </c>
      <c r="N59" s="7">
        <v>75</v>
      </c>
    </row>
    <row r="60" spans="1:14">
      <c r="A60" s="102" t="s">
        <v>160</v>
      </c>
      <c r="B60" s="6">
        <v>13</v>
      </c>
      <c r="C60" s="12" t="s">
        <v>12</v>
      </c>
      <c r="D60" s="7">
        <v>19</v>
      </c>
      <c r="E60" s="7">
        <v>60</v>
      </c>
      <c r="F60" s="7">
        <v>75</v>
      </c>
      <c r="G60" s="8">
        <v>75</v>
      </c>
      <c r="H60" s="8">
        <v>75</v>
      </c>
      <c r="I60" s="7">
        <v>75</v>
      </c>
      <c r="J60" s="7">
        <v>75</v>
      </c>
      <c r="K60" s="82"/>
      <c r="L60" s="7">
        <v>75</v>
      </c>
      <c r="M60" s="7">
        <v>75</v>
      </c>
      <c r="N60" s="7">
        <v>75</v>
      </c>
    </row>
    <row r="61" spans="1:14">
      <c r="A61" s="115" t="s">
        <v>161</v>
      </c>
      <c r="B61" s="6">
        <v>14</v>
      </c>
      <c r="C61" s="12" t="s">
        <v>12</v>
      </c>
      <c r="D61" s="7">
        <v>22</v>
      </c>
      <c r="E61" s="7">
        <v>38</v>
      </c>
      <c r="F61" s="7">
        <v>34</v>
      </c>
      <c r="G61" s="8">
        <v>29</v>
      </c>
      <c r="H61" s="8">
        <v>23</v>
      </c>
      <c r="I61" s="7">
        <v>44</v>
      </c>
      <c r="J61" s="7">
        <v>50</v>
      </c>
      <c r="K61" s="82"/>
      <c r="L61" s="7">
        <v>75</v>
      </c>
      <c r="M61" s="123">
        <v>26</v>
      </c>
      <c r="N61" s="7">
        <v>27</v>
      </c>
    </row>
    <row r="62" spans="1:14">
      <c r="A62" s="102" t="s">
        <v>163</v>
      </c>
      <c r="B62" s="6">
        <v>15</v>
      </c>
      <c r="C62" s="12" t="s">
        <v>12</v>
      </c>
      <c r="D62" s="7">
        <v>2</v>
      </c>
      <c r="E62" s="7">
        <v>40</v>
      </c>
      <c r="F62" s="7">
        <v>42</v>
      </c>
      <c r="G62" s="8">
        <v>35</v>
      </c>
      <c r="H62" s="8">
        <v>32</v>
      </c>
      <c r="I62" s="7">
        <v>41</v>
      </c>
      <c r="J62" s="7">
        <v>21</v>
      </c>
      <c r="K62" s="82"/>
      <c r="L62" s="127">
        <v>58</v>
      </c>
      <c r="M62" s="7">
        <v>19</v>
      </c>
      <c r="N62" s="7">
        <v>18</v>
      </c>
    </row>
    <row r="63" spans="1:14">
      <c r="A63" s="113" t="s">
        <v>164</v>
      </c>
      <c r="B63" s="6">
        <v>16</v>
      </c>
      <c r="C63" s="12" t="s">
        <v>12</v>
      </c>
      <c r="D63" s="7">
        <v>20</v>
      </c>
      <c r="E63" s="7">
        <v>27</v>
      </c>
      <c r="F63" s="7">
        <v>36</v>
      </c>
      <c r="G63" s="8">
        <v>42</v>
      </c>
      <c r="H63" s="8">
        <v>35</v>
      </c>
      <c r="I63" s="7">
        <v>36</v>
      </c>
      <c r="J63" s="7">
        <v>45</v>
      </c>
      <c r="K63" s="82"/>
      <c r="L63" s="7">
        <v>39</v>
      </c>
      <c r="M63" s="7">
        <v>47</v>
      </c>
      <c r="N63" s="7">
        <v>22</v>
      </c>
    </row>
    <row r="66" spans="1:14">
      <c r="A66" s="10"/>
      <c r="B66" s="10"/>
      <c r="C66" s="10" t="s">
        <v>208</v>
      </c>
      <c r="D66" s="13" t="s">
        <v>225</v>
      </c>
      <c r="E66" s="13" t="s">
        <v>225</v>
      </c>
      <c r="F66" s="13" t="s">
        <v>225</v>
      </c>
      <c r="G66" s="13" t="s">
        <v>225</v>
      </c>
      <c r="H66" s="13" t="s">
        <v>225</v>
      </c>
      <c r="I66" s="13" t="s">
        <v>225</v>
      </c>
      <c r="J66" s="13" t="s">
        <v>225</v>
      </c>
      <c r="K66" s="13" t="s">
        <v>225</v>
      </c>
      <c r="L66" s="13" t="s">
        <v>225</v>
      </c>
      <c r="M66" s="13" t="s">
        <v>225</v>
      </c>
      <c r="N66" s="13" t="s">
        <v>225</v>
      </c>
    </row>
    <row r="67" spans="1:14">
      <c r="A67" s="5" t="s">
        <v>228</v>
      </c>
      <c r="B67" s="10"/>
      <c r="C67" s="10"/>
      <c r="D67" s="5" t="s">
        <v>211</v>
      </c>
      <c r="E67" s="5" t="s">
        <v>212</v>
      </c>
      <c r="F67" s="5" t="s">
        <v>213</v>
      </c>
      <c r="G67" s="5" t="s">
        <v>214</v>
      </c>
      <c r="H67" s="5" t="s">
        <v>215</v>
      </c>
      <c r="I67" s="5" t="s">
        <v>217</v>
      </c>
      <c r="J67" s="5" t="s">
        <v>218</v>
      </c>
      <c r="K67" s="5" t="s">
        <v>216</v>
      </c>
      <c r="L67" s="5" t="s">
        <v>219</v>
      </c>
      <c r="M67" s="5" t="s">
        <v>220</v>
      </c>
      <c r="N67" s="5" t="s">
        <v>221</v>
      </c>
    </row>
    <row r="68" spans="1:14">
      <c r="A68" s="10" t="s">
        <v>222</v>
      </c>
      <c r="B68" s="10" t="s">
        <v>223</v>
      </c>
      <c r="C68" s="10" t="s">
        <v>8</v>
      </c>
      <c r="D68" s="2">
        <v>44333</v>
      </c>
      <c r="E68" s="2">
        <v>44334</v>
      </c>
      <c r="F68" s="2">
        <v>44335</v>
      </c>
      <c r="G68" s="2">
        <v>44336</v>
      </c>
      <c r="H68" s="2">
        <v>44337</v>
      </c>
      <c r="I68" s="2">
        <v>44338</v>
      </c>
      <c r="J68" s="2">
        <v>44339</v>
      </c>
      <c r="K68" s="2">
        <v>44340</v>
      </c>
      <c r="L68" s="2">
        <v>44341</v>
      </c>
      <c r="M68" s="2">
        <v>44342</v>
      </c>
      <c r="N68" s="2">
        <v>44343</v>
      </c>
    </row>
    <row r="69" spans="1:14">
      <c r="A69" s="102" t="s">
        <v>131</v>
      </c>
      <c r="B69" s="6">
        <v>1</v>
      </c>
      <c r="C69" s="12" t="s">
        <v>12</v>
      </c>
      <c r="D69" s="7">
        <v>58</v>
      </c>
      <c r="E69" s="7">
        <v>236</v>
      </c>
      <c r="F69" s="7">
        <v>232</v>
      </c>
      <c r="G69" s="8">
        <v>188</v>
      </c>
      <c r="H69" s="8">
        <v>214</v>
      </c>
      <c r="I69" s="7">
        <v>171</v>
      </c>
      <c r="J69" s="7">
        <v>331</v>
      </c>
      <c r="K69" s="82"/>
      <c r="L69" s="7">
        <v>409</v>
      </c>
      <c r="M69" s="7">
        <v>449</v>
      </c>
      <c r="N69" s="7">
        <v>312</v>
      </c>
    </row>
    <row r="70" spans="1:14">
      <c r="A70" s="113" t="s">
        <v>134</v>
      </c>
      <c r="B70" s="6">
        <v>2</v>
      </c>
      <c r="C70" s="12" t="s">
        <v>12</v>
      </c>
      <c r="D70" s="7">
        <v>16</v>
      </c>
      <c r="E70" s="7">
        <v>24</v>
      </c>
      <c r="F70" s="7">
        <v>61</v>
      </c>
      <c r="G70" s="8">
        <v>99</v>
      </c>
      <c r="H70" s="8">
        <v>224</v>
      </c>
      <c r="I70" s="7">
        <v>240</v>
      </c>
      <c r="J70" s="7">
        <v>337</v>
      </c>
      <c r="K70" s="82"/>
      <c r="L70" s="7">
        <v>491</v>
      </c>
      <c r="M70" s="7">
        <v>711</v>
      </c>
      <c r="N70" s="7">
        <v>449</v>
      </c>
    </row>
    <row r="71" spans="1:14">
      <c r="A71" s="102" t="s">
        <v>137</v>
      </c>
      <c r="B71" s="6">
        <v>3</v>
      </c>
      <c r="C71" s="12" t="s">
        <v>12</v>
      </c>
      <c r="D71" s="7">
        <v>20</v>
      </c>
      <c r="E71" s="7">
        <v>46</v>
      </c>
      <c r="F71" s="7">
        <v>46</v>
      </c>
      <c r="G71" s="8">
        <v>64</v>
      </c>
      <c r="H71" s="8">
        <v>59</v>
      </c>
      <c r="I71" s="7">
        <v>86</v>
      </c>
      <c r="J71" s="7">
        <v>178</v>
      </c>
      <c r="K71" s="82"/>
      <c r="L71" s="7">
        <v>378</v>
      </c>
      <c r="M71" s="7">
        <v>317</v>
      </c>
      <c r="N71" s="7">
        <v>180</v>
      </c>
    </row>
    <row r="72" spans="1:14" ht="21.6">
      <c r="A72" s="114" t="s">
        <v>140</v>
      </c>
      <c r="B72" s="6">
        <v>4</v>
      </c>
      <c r="C72" s="12" t="s">
        <v>224</v>
      </c>
      <c r="D72" s="7">
        <v>129</v>
      </c>
      <c r="E72" s="7">
        <v>62</v>
      </c>
      <c r="F72" s="7">
        <v>34</v>
      </c>
      <c r="G72" s="8">
        <v>13</v>
      </c>
      <c r="H72" s="8">
        <v>26</v>
      </c>
      <c r="I72" s="7">
        <v>21</v>
      </c>
      <c r="J72" s="7">
        <v>21</v>
      </c>
      <c r="K72" s="82"/>
      <c r="L72" s="7">
        <v>44</v>
      </c>
      <c r="M72" s="7">
        <v>43</v>
      </c>
      <c r="N72" s="7">
        <v>25</v>
      </c>
    </row>
    <row r="73" spans="1:14">
      <c r="A73" s="102" t="s">
        <v>142</v>
      </c>
      <c r="B73" s="6">
        <v>5</v>
      </c>
      <c r="C73" s="12" t="s">
        <v>224</v>
      </c>
      <c r="D73" s="7">
        <v>21</v>
      </c>
      <c r="E73" s="7">
        <v>133</v>
      </c>
      <c r="F73" s="7">
        <v>143</v>
      </c>
      <c r="G73" s="8">
        <v>179</v>
      </c>
      <c r="H73" s="8">
        <v>122</v>
      </c>
      <c r="I73" s="7">
        <v>94</v>
      </c>
      <c r="J73" s="7">
        <v>110</v>
      </c>
      <c r="K73" s="82"/>
      <c r="L73" s="7">
        <v>114</v>
      </c>
      <c r="M73" s="7">
        <v>105</v>
      </c>
      <c r="N73" s="7">
        <v>76</v>
      </c>
    </row>
    <row r="74" spans="1:14">
      <c r="A74" s="102" t="s">
        <v>145</v>
      </c>
      <c r="B74" s="6">
        <v>6</v>
      </c>
      <c r="C74" s="12" t="s">
        <v>12</v>
      </c>
      <c r="D74" s="7">
        <v>72</v>
      </c>
      <c r="E74" s="7">
        <v>51</v>
      </c>
      <c r="F74" s="123">
        <v>57</v>
      </c>
      <c r="G74" s="123">
        <v>33</v>
      </c>
      <c r="H74" s="126">
        <v>64</v>
      </c>
      <c r="I74" s="79">
        <v>41</v>
      </c>
      <c r="J74" s="79">
        <v>29</v>
      </c>
      <c r="K74" s="83"/>
      <c r="L74" s="7">
        <v>55</v>
      </c>
      <c r="M74" s="123">
        <v>33</v>
      </c>
      <c r="N74" s="123">
        <v>28</v>
      </c>
    </row>
    <row r="75" spans="1:14" ht="21.6">
      <c r="A75" s="114" t="s">
        <v>148</v>
      </c>
      <c r="B75" s="6">
        <v>7</v>
      </c>
      <c r="C75" s="12" t="s">
        <v>12</v>
      </c>
      <c r="D75" s="7">
        <v>21</v>
      </c>
      <c r="E75" s="7">
        <v>39</v>
      </c>
      <c r="F75" s="7">
        <v>49</v>
      </c>
      <c r="G75" s="8">
        <v>53</v>
      </c>
      <c r="H75" s="8">
        <v>67</v>
      </c>
      <c r="I75" s="7">
        <v>125</v>
      </c>
      <c r="J75" s="7">
        <v>258</v>
      </c>
      <c r="K75" s="84"/>
      <c r="L75" s="10">
        <v>356</v>
      </c>
      <c r="M75" s="7">
        <v>337</v>
      </c>
      <c r="N75" s="7">
        <v>190</v>
      </c>
    </row>
    <row r="76" spans="1:14">
      <c r="A76" s="102" t="s">
        <v>151</v>
      </c>
      <c r="B76" s="6">
        <v>8</v>
      </c>
      <c r="C76" s="12" t="s">
        <v>12</v>
      </c>
      <c r="D76" s="7">
        <v>27</v>
      </c>
      <c r="E76" s="7">
        <v>79</v>
      </c>
      <c r="F76" s="7">
        <v>78</v>
      </c>
      <c r="G76" s="8">
        <v>110</v>
      </c>
      <c r="H76" s="8">
        <v>92</v>
      </c>
      <c r="I76" s="80">
        <v>88</v>
      </c>
      <c r="J76" s="80">
        <v>62</v>
      </c>
      <c r="K76" s="85"/>
      <c r="L76" s="7">
        <v>93</v>
      </c>
      <c r="M76" s="7">
        <v>142</v>
      </c>
      <c r="N76" s="7">
        <v>135</v>
      </c>
    </row>
    <row r="77" spans="1:14">
      <c r="A77" s="102" t="s">
        <v>154</v>
      </c>
      <c r="B77" s="6">
        <v>9</v>
      </c>
      <c r="C77" s="12" t="s">
        <v>224</v>
      </c>
      <c r="D77" s="7">
        <v>23</v>
      </c>
      <c r="E77" s="7">
        <v>30</v>
      </c>
      <c r="F77" s="7">
        <v>29</v>
      </c>
      <c r="G77" s="8">
        <v>24</v>
      </c>
      <c r="H77" s="8">
        <v>5</v>
      </c>
      <c r="I77" s="7">
        <v>8</v>
      </c>
      <c r="J77" s="7">
        <v>14</v>
      </c>
      <c r="K77" s="82"/>
      <c r="L77" s="7">
        <v>9</v>
      </c>
      <c r="M77" s="7">
        <v>4</v>
      </c>
      <c r="N77" s="7">
        <v>4</v>
      </c>
    </row>
    <row r="78" spans="1:14">
      <c r="A78" s="102" t="s">
        <v>157</v>
      </c>
      <c r="B78" s="6">
        <v>10</v>
      </c>
      <c r="C78" s="12" t="s">
        <v>224</v>
      </c>
      <c r="D78" s="123">
        <v>79</v>
      </c>
      <c r="E78" s="7">
        <v>39</v>
      </c>
      <c r="F78" s="69">
        <v>63</v>
      </c>
      <c r="G78" s="124">
        <v>49</v>
      </c>
      <c r="H78" s="124">
        <v>40</v>
      </c>
      <c r="I78" s="69">
        <v>10</v>
      </c>
      <c r="J78" s="69">
        <v>20</v>
      </c>
      <c r="K78" s="82"/>
      <c r="L78" s="69">
        <v>38</v>
      </c>
      <c r="M78" s="69">
        <v>27</v>
      </c>
      <c r="N78" s="69">
        <v>26</v>
      </c>
    </row>
    <row r="79" spans="1:14">
      <c r="A79" s="102" t="s">
        <v>158</v>
      </c>
      <c r="B79" s="6">
        <v>11</v>
      </c>
      <c r="C79" s="12" t="s">
        <v>12</v>
      </c>
      <c r="D79" s="7">
        <v>16</v>
      </c>
      <c r="E79" s="7">
        <v>30</v>
      </c>
      <c r="F79" s="7">
        <v>85</v>
      </c>
      <c r="G79" s="7">
        <v>105</v>
      </c>
      <c r="H79" s="7">
        <v>132</v>
      </c>
      <c r="I79" s="81">
        <v>100</v>
      </c>
      <c r="J79" s="81">
        <v>132</v>
      </c>
      <c r="K79" s="84"/>
      <c r="L79" s="127">
        <v>177</v>
      </c>
      <c r="M79" s="7">
        <v>49</v>
      </c>
      <c r="N79" s="7">
        <v>54</v>
      </c>
    </row>
    <row r="80" spans="1:14">
      <c r="A80" s="102" t="s">
        <v>159</v>
      </c>
      <c r="B80" s="6">
        <v>12</v>
      </c>
      <c r="C80" s="12" t="s">
        <v>12</v>
      </c>
      <c r="D80" s="7">
        <v>22</v>
      </c>
      <c r="E80" s="7">
        <v>148</v>
      </c>
      <c r="F80" s="7">
        <v>340</v>
      </c>
      <c r="G80" s="8">
        <v>438</v>
      </c>
      <c r="H80" s="8">
        <v>693</v>
      </c>
      <c r="I80" s="7">
        <v>567</v>
      </c>
      <c r="J80" s="7">
        <v>539</v>
      </c>
      <c r="K80" s="82"/>
      <c r="L80" s="7">
        <v>512</v>
      </c>
      <c r="M80" s="7">
        <v>372</v>
      </c>
      <c r="N80" s="7">
        <v>364</v>
      </c>
    </row>
    <row r="81" spans="1:14">
      <c r="A81" s="102" t="s">
        <v>160</v>
      </c>
      <c r="B81" s="6">
        <v>13</v>
      </c>
      <c r="C81" s="12" t="s">
        <v>12</v>
      </c>
      <c r="D81" s="7">
        <v>26</v>
      </c>
      <c r="E81" s="7">
        <v>217</v>
      </c>
      <c r="F81" s="7">
        <v>327</v>
      </c>
      <c r="G81" s="8">
        <v>228</v>
      </c>
      <c r="H81" s="8">
        <v>252</v>
      </c>
      <c r="I81" s="7">
        <v>268</v>
      </c>
      <c r="J81" s="7">
        <v>320</v>
      </c>
      <c r="K81" s="82"/>
      <c r="L81" s="7">
        <v>259</v>
      </c>
      <c r="M81" s="7">
        <v>209</v>
      </c>
      <c r="N81" s="7">
        <v>231</v>
      </c>
    </row>
    <row r="82" spans="1:14">
      <c r="A82" s="115" t="s">
        <v>161</v>
      </c>
      <c r="B82" s="6">
        <v>14</v>
      </c>
      <c r="C82" s="12" t="s">
        <v>12</v>
      </c>
      <c r="D82" s="7">
        <v>67</v>
      </c>
      <c r="E82" s="7">
        <v>80</v>
      </c>
      <c r="F82" s="7">
        <v>56</v>
      </c>
      <c r="G82" s="8">
        <v>45</v>
      </c>
      <c r="H82" s="8">
        <v>35</v>
      </c>
      <c r="I82" s="7">
        <v>69</v>
      </c>
      <c r="J82" s="7">
        <v>117</v>
      </c>
      <c r="K82" s="82"/>
      <c r="L82" s="7">
        <v>116</v>
      </c>
      <c r="M82" s="123">
        <v>72</v>
      </c>
      <c r="N82" s="7">
        <v>52</v>
      </c>
    </row>
    <row r="83" spans="1:14">
      <c r="A83" s="102" t="s">
        <v>163</v>
      </c>
      <c r="B83" s="6">
        <v>15</v>
      </c>
      <c r="C83" s="12" t="s">
        <v>12</v>
      </c>
      <c r="D83" s="7">
        <v>4</v>
      </c>
      <c r="E83" s="7">
        <v>98</v>
      </c>
      <c r="F83" s="7">
        <v>121</v>
      </c>
      <c r="G83" s="8">
        <v>87</v>
      </c>
      <c r="H83" s="8">
        <v>105</v>
      </c>
      <c r="I83" s="7">
        <v>89</v>
      </c>
      <c r="J83" s="7">
        <v>48</v>
      </c>
      <c r="K83" s="82"/>
      <c r="L83" s="127">
        <v>123</v>
      </c>
      <c r="M83" s="7">
        <v>28</v>
      </c>
      <c r="N83" s="7">
        <v>34</v>
      </c>
    </row>
    <row r="84" spans="1:14">
      <c r="A84" s="113" t="s">
        <v>164</v>
      </c>
      <c r="B84" s="6">
        <v>16</v>
      </c>
      <c r="C84" s="12" t="s">
        <v>12</v>
      </c>
      <c r="D84" s="7">
        <v>38</v>
      </c>
      <c r="E84" s="7">
        <v>44</v>
      </c>
      <c r="F84" s="7">
        <v>59</v>
      </c>
      <c r="G84" s="8">
        <v>62</v>
      </c>
      <c r="H84" s="8">
        <v>53</v>
      </c>
      <c r="I84" s="7">
        <v>59</v>
      </c>
      <c r="J84" s="7">
        <v>66</v>
      </c>
      <c r="K84" s="82"/>
      <c r="L84" s="7">
        <v>50</v>
      </c>
      <c r="M84" s="7">
        <v>71</v>
      </c>
      <c r="N84" s="7">
        <v>34</v>
      </c>
    </row>
    <row r="87" spans="1:14">
      <c r="A87" s="10"/>
      <c r="B87" s="10"/>
      <c r="C87" s="10" t="s">
        <v>208</v>
      </c>
      <c r="D87" s="13" t="s">
        <v>225</v>
      </c>
      <c r="E87" s="13" t="s">
        <v>225</v>
      </c>
      <c r="F87" s="13" t="s">
        <v>225</v>
      </c>
      <c r="G87" s="13" t="s">
        <v>225</v>
      </c>
      <c r="H87" s="13" t="s">
        <v>225</v>
      </c>
      <c r="I87" s="13" t="s">
        <v>225</v>
      </c>
      <c r="J87" s="13" t="s">
        <v>225</v>
      </c>
      <c r="K87" s="13" t="s">
        <v>225</v>
      </c>
      <c r="L87" s="13" t="s">
        <v>225</v>
      </c>
      <c r="M87" s="13" t="s">
        <v>225</v>
      </c>
      <c r="N87" s="13" t="s">
        <v>225</v>
      </c>
    </row>
    <row r="88" spans="1:14">
      <c r="A88" s="5" t="s">
        <v>229</v>
      </c>
      <c r="B88" s="10"/>
      <c r="C88" s="10"/>
      <c r="D88" s="5" t="s">
        <v>211</v>
      </c>
      <c r="E88" s="5" t="s">
        <v>212</v>
      </c>
      <c r="F88" s="5" t="s">
        <v>213</v>
      </c>
      <c r="G88" s="5" t="s">
        <v>214</v>
      </c>
      <c r="H88" s="5" t="s">
        <v>215</v>
      </c>
      <c r="I88" s="5" t="s">
        <v>217</v>
      </c>
      <c r="J88" s="5" t="s">
        <v>218</v>
      </c>
      <c r="K88" s="5" t="s">
        <v>216</v>
      </c>
      <c r="L88" s="5" t="s">
        <v>219</v>
      </c>
      <c r="M88" s="5" t="s">
        <v>220</v>
      </c>
      <c r="N88" s="5" t="s">
        <v>221</v>
      </c>
    </row>
    <row r="89" spans="1:14">
      <c r="A89" s="10" t="s">
        <v>222</v>
      </c>
      <c r="B89" s="10" t="s">
        <v>223</v>
      </c>
      <c r="C89" s="10" t="s">
        <v>8</v>
      </c>
      <c r="D89" s="2">
        <v>44333</v>
      </c>
      <c r="E89" s="2">
        <v>44334</v>
      </c>
      <c r="F89" s="2">
        <v>44335</v>
      </c>
      <c r="G89" s="2">
        <v>44336</v>
      </c>
      <c r="H89" s="2">
        <v>44337</v>
      </c>
      <c r="I89" s="2">
        <v>44338</v>
      </c>
      <c r="J89" s="2">
        <v>44339</v>
      </c>
      <c r="K89" s="2">
        <v>44340</v>
      </c>
      <c r="L89" s="2">
        <v>44341</v>
      </c>
      <c r="M89" s="2">
        <v>44342</v>
      </c>
      <c r="N89" s="2">
        <v>44343</v>
      </c>
    </row>
    <row r="90" spans="1:14">
      <c r="A90" s="102" t="s">
        <v>131</v>
      </c>
      <c r="B90" s="6">
        <v>1</v>
      </c>
      <c r="C90" s="12" t="s">
        <v>12</v>
      </c>
      <c r="D90" s="7">
        <v>10</v>
      </c>
      <c r="E90" s="7">
        <v>9</v>
      </c>
      <c r="F90" s="7">
        <v>1</v>
      </c>
      <c r="G90" s="8">
        <v>2</v>
      </c>
      <c r="H90" s="8">
        <v>0</v>
      </c>
      <c r="I90" s="7">
        <v>5</v>
      </c>
      <c r="J90" s="7">
        <v>16</v>
      </c>
      <c r="K90" s="82"/>
      <c r="L90" s="7">
        <v>4</v>
      </c>
      <c r="M90" s="7">
        <v>9</v>
      </c>
      <c r="N90" s="7">
        <v>2</v>
      </c>
    </row>
    <row r="91" spans="1:14">
      <c r="A91" s="113" t="s">
        <v>134</v>
      </c>
      <c r="B91" s="6">
        <v>2</v>
      </c>
      <c r="C91" s="12" t="s">
        <v>12</v>
      </c>
      <c r="D91" s="7">
        <v>31</v>
      </c>
      <c r="E91" s="7">
        <v>2</v>
      </c>
      <c r="F91" s="7">
        <v>6</v>
      </c>
      <c r="G91" s="8">
        <v>281</v>
      </c>
      <c r="H91" s="8">
        <v>29</v>
      </c>
      <c r="I91" s="7">
        <v>15</v>
      </c>
      <c r="J91" s="7">
        <v>28</v>
      </c>
      <c r="K91" s="82"/>
      <c r="L91" s="7">
        <v>2</v>
      </c>
      <c r="M91" s="7">
        <v>5</v>
      </c>
      <c r="N91" s="7">
        <v>1</v>
      </c>
    </row>
    <row r="92" spans="1:14">
      <c r="A92" s="102" t="s">
        <v>137</v>
      </c>
      <c r="B92" s="6">
        <v>3</v>
      </c>
      <c r="C92" s="12" t="s">
        <v>12</v>
      </c>
      <c r="D92" s="7">
        <v>7</v>
      </c>
      <c r="E92" s="7">
        <v>11</v>
      </c>
      <c r="F92" s="7">
        <v>2</v>
      </c>
      <c r="G92" s="8">
        <v>2</v>
      </c>
      <c r="H92" s="8">
        <v>1</v>
      </c>
      <c r="I92" s="7">
        <v>0</v>
      </c>
      <c r="J92" s="7">
        <v>0</v>
      </c>
      <c r="K92" s="82"/>
      <c r="L92" s="7">
        <v>1</v>
      </c>
      <c r="M92" s="7">
        <v>13</v>
      </c>
      <c r="N92" s="7">
        <v>1</v>
      </c>
    </row>
    <row r="93" spans="1:14" ht="21.6">
      <c r="A93" s="114" t="s">
        <v>140</v>
      </c>
      <c r="B93" s="6">
        <v>4</v>
      </c>
      <c r="C93" s="12" t="s">
        <v>224</v>
      </c>
      <c r="D93" s="7">
        <v>46</v>
      </c>
      <c r="E93" s="7">
        <v>39</v>
      </c>
      <c r="F93" s="7">
        <v>36</v>
      </c>
      <c r="G93" s="8">
        <v>11</v>
      </c>
      <c r="H93" s="8">
        <v>31</v>
      </c>
      <c r="I93" s="7">
        <v>11</v>
      </c>
      <c r="J93" s="7">
        <v>0</v>
      </c>
      <c r="K93" s="82"/>
      <c r="L93" s="7">
        <v>11</v>
      </c>
      <c r="M93" s="7">
        <v>44</v>
      </c>
      <c r="N93" s="7">
        <v>13</v>
      </c>
    </row>
    <row r="94" spans="1:14">
      <c r="A94" s="102" t="s">
        <v>142</v>
      </c>
      <c r="B94" s="6">
        <v>5</v>
      </c>
      <c r="C94" s="12" t="s">
        <v>224</v>
      </c>
      <c r="D94" s="7">
        <v>8</v>
      </c>
      <c r="E94" s="7">
        <v>30</v>
      </c>
      <c r="F94" s="7">
        <v>106</v>
      </c>
      <c r="G94" s="8">
        <v>15</v>
      </c>
      <c r="H94" s="8">
        <v>57</v>
      </c>
      <c r="I94" s="7">
        <v>39</v>
      </c>
      <c r="J94" s="7">
        <v>16</v>
      </c>
      <c r="K94" s="82"/>
      <c r="L94" s="7">
        <v>47</v>
      </c>
      <c r="M94" s="7">
        <v>26</v>
      </c>
      <c r="N94" s="7">
        <v>4</v>
      </c>
    </row>
    <row r="95" spans="1:14">
      <c r="A95" s="102" t="s">
        <v>145</v>
      </c>
      <c r="B95" s="6">
        <v>6</v>
      </c>
      <c r="C95" s="12" t="s">
        <v>12</v>
      </c>
      <c r="D95" s="7">
        <v>17</v>
      </c>
      <c r="E95" s="7">
        <v>17</v>
      </c>
      <c r="F95" s="123">
        <v>16</v>
      </c>
      <c r="G95" s="123">
        <v>13</v>
      </c>
      <c r="H95" s="126">
        <v>47</v>
      </c>
      <c r="I95" s="79">
        <v>7</v>
      </c>
      <c r="J95" s="79">
        <v>9</v>
      </c>
      <c r="K95" s="83"/>
      <c r="L95" s="7">
        <v>21</v>
      </c>
      <c r="M95" s="123">
        <v>16</v>
      </c>
      <c r="N95" s="123">
        <v>8</v>
      </c>
    </row>
    <row r="96" spans="1:14" ht="21.6">
      <c r="A96" s="114" t="s">
        <v>148</v>
      </c>
      <c r="B96" s="6">
        <v>7</v>
      </c>
      <c r="C96" s="12" t="s">
        <v>12</v>
      </c>
      <c r="D96" s="7">
        <v>5</v>
      </c>
      <c r="E96" s="7">
        <v>7</v>
      </c>
      <c r="F96" s="7">
        <v>6</v>
      </c>
      <c r="G96" s="8">
        <v>2</v>
      </c>
      <c r="H96" s="8">
        <v>2</v>
      </c>
      <c r="I96" s="7">
        <v>10</v>
      </c>
      <c r="J96" s="7">
        <v>3</v>
      </c>
      <c r="K96" s="84"/>
      <c r="L96" s="10">
        <v>5</v>
      </c>
      <c r="M96" s="7">
        <v>1</v>
      </c>
      <c r="N96" s="7">
        <v>0</v>
      </c>
    </row>
    <row r="97" spans="1:14">
      <c r="A97" s="102" t="s">
        <v>151</v>
      </c>
      <c r="B97" s="6">
        <v>8</v>
      </c>
      <c r="C97" s="12" t="s">
        <v>12</v>
      </c>
      <c r="D97" s="7">
        <v>12</v>
      </c>
      <c r="E97" s="7">
        <v>8</v>
      </c>
      <c r="F97" s="7">
        <v>6</v>
      </c>
      <c r="G97" s="8">
        <v>6</v>
      </c>
      <c r="H97" s="8">
        <v>26</v>
      </c>
      <c r="I97" s="80">
        <v>6</v>
      </c>
      <c r="J97" s="80">
        <v>8</v>
      </c>
      <c r="K97" s="85"/>
      <c r="L97" s="7">
        <v>3</v>
      </c>
      <c r="M97" s="7">
        <v>8</v>
      </c>
      <c r="N97" s="7">
        <v>5</v>
      </c>
    </row>
    <row r="98" spans="1:14">
      <c r="A98" s="102" t="s">
        <v>154</v>
      </c>
      <c r="B98" s="6">
        <v>9</v>
      </c>
      <c r="C98" s="12" t="s">
        <v>224</v>
      </c>
      <c r="D98" s="7">
        <v>9</v>
      </c>
      <c r="E98" s="7">
        <v>4</v>
      </c>
      <c r="F98" s="7">
        <v>3</v>
      </c>
      <c r="G98" s="8">
        <v>1</v>
      </c>
      <c r="H98" s="8">
        <v>6</v>
      </c>
      <c r="I98" s="7">
        <v>2</v>
      </c>
      <c r="J98" s="7">
        <v>3</v>
      </c>
      <c r="K98" s="82"/>
      <c r="L98" s="7">
        <v>1</v>
      </c>
      <c r="M98" s="7">
        <v>2</v>
      </c>
      <c r="N98" s="7">
        <v>1</v>
      </c>
    </row>
    <row r="99" spans="1:14">
      <c r="A99" s="102" t="s">
        <v>157</v>
      </c>
      <c r="B99" s="6">
        <v>10</v>
      </c>
      <c r="C99" s="12" t="s">
        <v>224</v>
      </c>
      <c r="D99" s="123">
        <v>38</v>
      </c>
      <c r="E99" s="7">
        <v>6</v>
      </c>
      <c r="F99" s="69">
        <v>9</v>
      </c>
      <c r="G99" s="124">
        <v>15</v>
      </c>
      <c r="H99" s="124">
        <v>24</v>
      </c>
      <c r="I99" s="69">
        <v>10</v>
      </c>
      <c r="J99" s="69">
        <v>21</v>
      </c>
      <c r="K99" s="82"/>
      <c r="L99" s="69">
        <v>17</v>
      </c>
      <c r="M99" s="69">
        <v>9</v>
      </c>
      <c r="N99" s="69">
        <v>10</v>
      </c>
    </row>
    <row r="100" spans="1:14">
      <c r="A100" s="102" t="s">
        <v>158</v>
      </c>
      <c r="B100" s="6">
        <v>11</v>
      </c>
      <c r="C100" s="12" t="s">
        <v>12</v>
      </c>
      <c r="D100" s="7">
        <v>9</v>
      </c>
      <c r="E100" s="7">
        <v>11</v>
      </c>
      <c r="F100" s="7">
        <v>27</v>
      </c>
      <c r="G100" s="7">
        <v>43</v>
      </c>
      <c r="H100" s="7">
        <v>74</v>
      </c>
      <c r="I100" s="81">
        <v>66</v>
      </c>
      <c r="J100" s="81">
        <v>27</v>
      </c>
      <c r="K100" s="84"/>
      <c r="L100" s="127">
        <v>16</v>
      </c>
      <c r="M100" s="7">
        <v>5</v>
      </c>
      <c r="N100" s="7">
        <v>10</v>
      </c>
    </row>
    <row r="101" spans="1:14">
      <c r="A101" s="102" t="s">
        <v>159</v>
      </c>
      <c r="B101" s="6">
        <v>12</v>
      </c>
      <c r="C101" s="12" t="s">
        <v>12</v>
      </c>
      <c r="D101" s="7">
        <v>25</v>
      </c>
      <c r="E101" s="7">
        <v>21</v>
      </c>
      <c r="F101" s="7">
        <v>38</v>
      </c>
      <c r="G101" s="8">
        <v>63</v>
      </c>
      <c r="H101" s="8">
        <v>24</v>
      </c>
      <c r="I101" s="7">
        <v>105</v>
      </c>
      <c r="J101" s="7">
        <v>245</v>
      </c>
      <c r="K101" s="82"/>
      <c r="L101" s="7">
        <v>137</v>
      </c>
      <c r="M101" s="7">
        <v>59</v>
      </c>
      <c r="N101" s="7">
        <v>15</v>
      </c>
    </row>
    <row r="102" spans="1:14">
      <c r="A102" s="102" t="s">
        <v>160</v>
      </c>
      <c r="B102" s="6">
        <v>13</v>
      </c>
      <c r="C102" s="12" t="s">
        <v>12</v>
      </c>
      <c r="D102" s="7">
        <v>16</v>
      </c>
      <c r="E102" s="7">
        <v>0</v>
      </c>
      <c r="F102" s="7">
        <v>17</v>
      </c>
      <c r="G102" s="8">
        <v>8</v>
      </c>
      <c r="H102" s="8">
        <v>17</v>
      </c>
      <c r="I102" s="7">
        <v>1</v>
      </c>
      <c r="J102" s="7">
        <v>4</v>
      </c>
      <c r="K102" s="82"/>
      <c r="L102" s="7">
        <v>27</v>
      </c>
      <c r="M102" s="7">
        <v>29</v>
      </c>
      <c r="N102" s="7">
        <v>8</v>
      </c>
    </row>
    <row r="103" spans="1:14">
      <c r="A103" s="115" t="s">
        <v>161</v>
      </c>
      <c r="B103" s="6">
        <v>14</v>
      </c>
      <c r="C103" s="12" t="s">
        <v>12</v>
      </c>
      <c r="D103" s="7">
        <v>21</v>
      </c>
      <c r="E103" s="7">
        <v>15</v>
      </c>
      <c r="F103" s="7">
        <v>18</v>
      </c>
      <c r="G103" s="8">
        <v>5</v>
      </c>
      <c r="H103" s="8">
        <v>19</v>
      </c>
      <c r="I103" s="7">
        <v>24</v>
      </c>
      <c r="J103" s="7">
        <v>31</v>
      </c>
      <c r="K103" s="82"/>
      <c r="L103" s="7">
        <v>37</v>
      </c>
      <c r="M103" s="123">
        <v>15</v>
      </c>
      <c r="N103" s="7">
        <v>17</v>
      </c>
    </row>
    <row r="104" spans="1:14">
      <c r="A104" s="102" t="s">
        <v>163</v>
      </c>
      <c r="B104" s="6">
        <v>15</v>
      </c>
      <c r="C104" s="12" t="s">
        <v>12</v>
      </c>
      <c r="D104" s="7">
        <v>9</v>
      </c>
      <c r="E104" s="7">
        <v>10</v>
      </c>
      <c r="F104" s="7">
        <v>8</v>
      </c>
      <c r="G104" s="8">
        <v>9</v>
      </c>
      <c r="H104" s="8">
        <v>28</v>
      </c>
      <c r="I104" s="7">
        <v>30</v>
      </c>
      <c r="J104" s="7">
        <v>23</v>
      </c>
      <c r="K104" s="82"/>
      <c r="L104" s="127">
        <v>35</v>
      </c>
      <c r="M104" s="7">
        <v>12</v>
      </c>
      <c r="N104" s="7">
        <v>23</v>
      </c>
    </row>
    <row r="105" spans="1:14">
      <c r="A105" s="113" t="s">
        <v>164</v>
      </c>
      <c r="B105" s="6">
        <v>16</v>
      </c>
      <c r="C105" s="12" t="s">
        <v>12</v>
      </c>
      <c r="D105" s="7">
        <v>43</v>
      </c>
      <c r="E105" s="7">
        <v>25</v>
      </c>
      <c r="F105" s="7">
        <v>12</v>
      </c>
      <c r="G105" s="8">
        <v>3</v>
      </c>
      <c r="H105" s="8">
        <v>24</v>
      </c>
      <c r="I105" s="7">
        <v>9</v>
      </c>
      <c r="J105" s="7">
        <v>9</v>
      </c>
      <c r="K105" s="82"/>
      <c r="L105" s="7">
        <v>5</v>
      </c>
      <c r="M105" s="7">
        <v>33</v>
      </c>
      <c r="N105" s="7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DF9E-FFC0-4A9E-86AD-D025136C6337}">
  <dimension ref="A2:AZ45"/>
  <sheetViews>
    <sheetView topLeftCell="A21" workbookViewId="0">
      <selection activeCell="D36" sqref="D36:M37"/>
    </sheetView>
  </sheetViews>
  <sheetFormatPr defaultRowHeight="14.45"/>
  <cols>
    <col min="1" max="1" width="18" customWidth="1"/>
    <col min="2" max="2" width="9" bestFit="1" customWidth="1"/>
    <col min="4" max="13" width="9.85546875" bestFit="1" customWidth="1"/>
    <col min="14" max="14" width="13" bestFit="1" customWidth="1"/>
    <col min="15" max="15" width="9" bestFit="1" customWidth="1"/>
    <col min="16" max="16" width="11.42578125" bestFit="1" customWidth="1"/>
    <col min="22" max="31" width="9.85546875" bestFit="1" customWidth="1"/>
    <col min="32" max="32" width="13" bestFit="1" customWidth="1"/>
    <col min="33" max="33" width="9" bestFit="1" customWidth="1"/>
    <col min="34" max="34" width="11.42578125" bestFit="1" customWidth="1"/>
    <col min="40" max="49" width="9.85546875" bestFit="1" customWidth="1"/>
    <col min="50" max="50" width="13" bestFit="1" customWidth="1"/>
    <col min="51" max="51" width="9" bestFit="1" customWidth="1"/>
    <col min="52" max="52" width="11.42578125" bestFit="1" customWidth="1"/>
  </cols>
  <sheetData>
    <row r="2" spans="1:25">
      <c r="A2" t="s">
        <v>9</v>
      </c>
      <c r="S2" t="s">
        <v>9</v>
      </c>
      <c r="Y2" t="s">
        <v>271</v>
      </c>
    </row>
    <row r="3" spans="1:25">
      <c r="A3" t="s">
        <v>132</v>
      </c>
      <c r="B3" t="s">
        <v>133</v>
      </c>
      <c r="S3" t="s">
        <v>132</v>
      </c>
      <c r="T3" t="s">
        <v>133</v>
      </c>
      <c r="Y3" t="s">
        <v>272</v>
      </c>
    </row>
    <row r="4" spans="1:25">
      <c r="A4" t="s">
        <v>135</v>
      </c>
      <c r="B4" t="s">
        <v>136</v>
      </c>
      <c r="S4" t="s">
        <v>135</v>
      </c>
      <c r="T4" t="s">
        <v>136</v>
      </c>
      <c r="Y4" t="s">
        <v>273</v>
      </c>
    </row>
    <row r="5" spans="1:25">
      <c r="A5" t="s">
        <v>138</v>
      </c>
      <c r="B5" t="s">
        <v>139</v>
      </c>
      <c r="S5" t="s">
        <v>138</v>
      </c>
      <c r="T5" t="s">
        <v>139</v>
      </c>
      <c r="Y5" t="s">
        <v>274</v>
      </c>
    </row>
    <row r="6" spans="1:25">
      <c r="A6" t="s">
        <v>141</v>
      </c>
      <c r="B6" t="s">
        <v>83</v>
      </c>
      <c r="S6" t="s">
        <v>141</v>
      </c>
      <c r="T6" t="s">
        <v>83</v>
      </c>
    </row>
    <row r="7" spans="1:25">
      <c r="A7" t="s">
        <v>143</v>
      </c>
      <c r="B7" t="s">
        <v>144</v>
      </c>
      <c r="S7" t="s">
        <v>143</v>
      </c>
      <c r="T7" t="s">
        <v>144</v>
      </c>
    </row>
    <row r="8" spans="1:25">
      <c r="A8" t="s">
        <v>146</v>
      </c>
      <c r="B8" t="s">
        <v>147</v>
      </c>
      <c r="S8" t="s">
        <v>146</v>
      </c>
      <c r="T8" t="s">
        <v>147</v>
      </c>
    </row>
    <row r="9" spans="1:25">
      <c r="A9" t="s">
        <v>149</v>
      </c>
      <c r="B9" t="s">
        <v>150</v>
      </c>
      <c r="S9" t="s">
        <v>149</v>
      </c>
      <c r="T9" t="s">
        <v>150</v>
      </c>
    </row>
    <row r="10" spans="1:25">
      <c r="A10" t="s">
        <v>152</v>
      </c>
      <c r="B10" t="s">
        <v>153</v>
      </c>
      <c r="S10" t="s">
        <v>152</v>
      </c>
      <c r="T10" t="s">
        <v>153</v>
      </c>
    </row>
    <row r="11" spans="1:25">
      <c r="A11" t="s">
        <v>155</v>
      </c>
      <c r="B11" t="s">
        <v>156</v>
      </c>
      <c r="S11" t="s">
        <v>155</v>
      </c>
      <c r="T11" t="s">
        <v>156</v>
      </c>
    </row>
    <row r="13" spans="1:25">
      <c r="A13" s="122" t="s">
        <v>268</v>
      </c>
      <c r="S13" s="122" t="s">
        <v>268</v>
      </c>
    </row>
    <row r="14" spans="1:25">
      <c r="A14" s="68" t="s">
        <v>269</v>
      </c>
      <c r="S14" s="68" t="s">
        <v>269</v>
      </c>
    </row>
    <row r="15" spans="1:25">
      <c r="A15" s="125" t="s">
        <v>270</v>
      </c>
      <c r="S15" s="125" t="s">
        <v>270</v>
      </c>
    </row>
    <row r="18" spans="1:52">
      <c r="A18" s="5" t="s">
        <v>226</v>
      </c>
      <c r="B18" s="10"/>
      <c r="C18" s="10"/>
      <c r="D18" s="5" t="s">
        <v>211</v>
      </c>
      <c r="E18" s="5" t="s">
        <v>212</v>
      </c>
      <c r="F18" s="5" t="s">
        <v>213</v>
      </c>
      <c r="G18" s="5" t="s">
        <v>214</v>
      </c>
      <c r="H18" s="5" t="s">
        <v>215</v>
      </c>
      <c r="I18" s="5" t="s">
        <v>217</v>
      </c>
      <c r="J18" s="5" t="s">
        <v>218</v>
      </c>
      <c r="K18" s="5" t="s">
        <v>219</v>
      </c>
      <c r="L18" s="5" t="s">
        <v>220</v>
      </c>
      <c r="M18" s="5" t="s">
        <v>221</v>
      </c>
      <c r="S18" s="5" t="s">
        <v>228</v>
      </c>
      <c r="T18" s="10"/>
      <c r="U18" s="10"/>
      <c r="V18" s="5" t="s">
        <v>211</v>
      </c>
      <c r="W18" s="5" t="s">
        <v>212</v>
      </c>
      <c r="X18" s="5" t="s">
        <v>213</v>
      </c>
      <c r="Y18" s="5" t="s">
        <v>214</v>
      </c>
      <c r="Z18" s="5" t="s">
        <v>215</v>
      </c>
      <c r="AA18" s="5" t="s">
        <v>217</v>
      </c>
      <c r="AB18" s="5" t="s">
        <v>218</v>
      </c>
      <c r="AC18" s="5" t="s">
        <v>219</v>
      </c>
      <c r="AD18" s="5" t="s">
        <v>220</v>
      </c>
      <c r="AE18" s="5" t="s">
        <v>221</v>
      </c>
      <c r="AK18" s="5" t="s">
        <v>229</v>
      </c>
      <c r="AL18" s="10"/>
      <c r="AM18" s="10"/>
      <c r="AN18" s="5" t="s">
        <v>211</v>
      </c>
      <c r="AO18" s="5" t="s">
        <v>212</v>
      </c>
      <c r="AP18" s="5" t="s">
        <v>213</v>
      </c>
      <c r="AQ18" s="5" t="s">
        <v>214</v>
      </c>
      <c r="AR18" s="5" t="s">
        <v>215</v>
      </c>
      <c r="AS18" s="5" t="s">
        <v>217</v>
      </c>
      <c r="AT18" s="5" t="s">
        <v>218</v>
      </c>
      <c r="AU18" s="5" t="s">
        <v>219</v>
      </c>
      <c r="AV18" s="5" t="s">
        <v>220</v>
      </c>
      <c r="AW18" s="5" t="s">
        <v>221</v>
      </c>
    </row>
    <row r="19" spans="1:52">
      <c r="A19" s="10" t="s">
        <v>222</v>
      </c>
      <c r="B19" s="10" t="s">
        <v>223</v>
      </c>
      <c r="C19" s="10" t="s">
        <v>8</v>
      </c>
      <c r="D19" s="2">
        <v>44333</v>
      </c>
      <c r="E19" s="2">
        <v>44334</v>
      </c>
      <c r="F19" s="2">
        <v>44335</v>
      </c>
      <c r="G19" s="2">
        <v>44336</v>
      </c>
      <c r="H19" s="2">
        <v>44337</v>
      </c>
      <c r="I19" s="2">
        <v>44338</v>
      </c>
      <c r="J19" s="2">
        <v>44339</v>
      </c>
      <c r="K19" s="2">
        <v>44341</v>
      </c>
      <c r="L19" s="2">
        <v>44342</v>
      </c>
      <c r="M19" s="2">
        <v>44343</v>
      </c>
      <c r="N19" s="48" t="s">
        <v>230</v>
      </c>
      <c r="O19" s="48" t="s">
        <v>231</v>
      </c>
      <c r="P19" t="s">
        <v>232</v>
      </c>
      <c r="S19" s="10" t="s">
        <v>222</v>
      </c>
      <c r="T19" s="10" t="s">
        <v>223</v>
      </c>
      <c r="U19" s="10" t="s">
        <v>8</v>
      </c>
      <c r="V19" s="2">
        <v>44333</v>
      </c>
      <c r="W19" s="2">
        <v>44334</v>
      </c>
      <c r="X19" s="2">
        <v>44335</v>
      </c>
      <c r="Y19" s="2">
        <v>44336</v>
      </c>
      <c r="Z19" s="2">
        <v>44337</v>
      </c>
      <c r="AA19" s="2">
        <v>44338</v>
      </c>
      <c r="AB19" s="2">
        <v>44339</v>
      </c>
      <c r="AC19" s="2">
        <v>44341</v>
      </c>
      <c r="AD19" s="2">
        <v>44342</v>
      </c>
      <c r="AE19" s="2">
        <v>44343</v>
      </c>
      <c r="AF19" s="48" t="s">
        <v>230</v>
      </c>
      <c r="AG19" s="48" t="s">
        <v>231</v>
      </c>
      <c r="AH19" t="s">
        <v>232</v>
      </c>
      <c r="AK19" s="10" t="s">
        <v>222</v>
      </c>
      <c r="AL19" s="10" t="s">
        <v>223</v>
      </c>
      <c r="AM19" s="10" t="s">
        <v>8</v>
      </c>
      <c r="AN19" s="2">
        <v>44333</v>
      </c>
      <c r="AO19" s="2">
        <v>44334</v>
      </c>
      <c r="AP19" s="2">
        <v>44335</v>
      </c>
      <c r="AQ19" s="2">
        <v>44336</v>
      </c>
      <c r="AR19" s="2">
        <v>44337</v>
      </c>
      <c r="AS19" s="2">
        <v>44338</v>
      </c>
      <c r="AT19" s="2">
        <v>44339</v>
      </c>
      <c r="AU19" s="2">
        <v>44341</v>
      </c>
      <c r="AV19" s="2">
        <v>44342</v>
      </c>
      <c r="AW19" s="2">
        <v>44343</v>
      </c>
      <c r="AX19" s="48" t="s">
        <v>230</v>
      </c>
      <c r="AY19" s="48" t="s">
        <v>231</v>
      </c>
      <c r="AZ19" t="s">
        <v>232</v>
      </c>
    </row>
    <row r="20" spans="1:52">
      <c r="A20" s="102" t="s">
        <v>137</v>
      </c>
      <c r="B20" s="6">
        <v>3</v>
      </c>
      <c r="C20" s="12" t="s">
        <v>12</v>
      </c>
      <c r="D20" s="7">
        <v>15</v>
      </c>
      <c r="E20" s="7">
        <v>26</v>
      </c>
      <c r="F20" s="7">
        <v>27</v>
      </c>
      <c r="G20" s="8">
        <v>37</v>
      </c>
      <c r="H20" s="8">
        <v>34</v>
      </c>
      <c r="I20" s="7">
        <v>38</v>
      </c>
      <c r="J20" s="7">
        <v>75</v>
      </c>
      <c r="K20" s="7">
        <v>75</v>
      </c>
      <c r="L20" s="7">
        <v>75</v>
      </c>
      <c r="M20" s="7">
        <v>75</v>
      </c>
      <c r="N20">
        <f>AVERAGE(K20:M20)</f>
        <v>75</v>
      </c>
      <c r="O20">
        <f>AVERAGE(D20:M20)</f>
        <v>47.7</v>
      </c>
      <c r="P20" s="109">
        <v>1</v>
      </c>
      <c r="S20" s="102" t="s">
        <v>137</v>
      </c>
      <c r="T20" s="6">
        <v>3</v>
      </c>
      <c r="U20" s="12" t="s">
        <v>12</v>
      </c>
      <c r="V20" s="7">
        <v>20</v>
      </c>
      <c r="W20" s="7">
        <v>46</v>
      </c>
      <c r="X20" s="7">
        <v>46</v>
      </c>
      <c r="Y20" s="8">
        <v>64</v>
      </c>
      <c r="Z20" s="8">
        <v>59</v>
      </c>
      <c r="AA20" s="7">
        <v>86</v>
      </c>
      <c r="AB20" s="7">
        <v>178</v>
      </c>
      <c r="AC20" s="7">
        <v>378</v>
      </c>
      <c r="AD20" s="7">
        <v>317</v>
      </c>
      <c r="AE20" s="7">
        <v>180</v>
      </c>
      <c r="AF20">
        <f>AVERAGE(AC20:AE20)</f>
        <v>291.66666666666669</v>
      </c>
      <c r="AG20">
        <f>AVERAGE(V20:AE20)</f>
        <v>137.4</v>
      </c>
      <c r="AH20" s="109">
        <v>1</v>
      </c>
      <c r="AK20" s="102" t="s">
        <v>137</v>
      </c>
      <c r="AL20" s="6">
        <v>3</v>
      </c>
      <c r="AM20" s="12" t="s">
        <v>12</v>
      </c>
      <c r="AN20" s="7">
        <v>7</v>
      </c>
      <c r="AO20" s="7">
        <v>11</v>
      </c>
      <c r="AP20" s="7">
        <v>2</v>
      </c>
      <c r="AQ20" s="8">
        <v>2</v>
      </c>
      <c r="AR20" s="8">
        <v>1</v>
      </c>
      <c r="AS20" s="7">
        <v>0</v>
      </c>
      <c r="AT20" s="7">
        <v>0</v>
      </c>
      <c r="AU20" s="7">
        <v>1</v>
      </c>
      <c r="AV20" s="7">
        <v>13</v>
      </c>
      <c r="AW20" s="7">
        <v>1</v>
      </c>
      <c r="AX20">
        <f>AVERAGE(AU20:AW20)</f>
        <v>5</v>
      </c>
      <c r="AY20">
        <f>AVERAGE(AN20:AW20)</f>
        <v>3.8</v>
      </c>
      <c r="AZ20" s="109">
        <v>1</v>
      </c>
    </row>
    <row r="21" spans="1:52">
      <c r="A21" s="102" t="s">
        <v>145</v>
      </c>
      <c r="B21" s="6">
        <v>6</v>
      </c>
      <c r="C21" s="12" t="s">
        <v>12</v>
      </c>
      <c r="D21" s="7">
        <v>41</v>
      </c>
      <c r="E21" s="7">
        <v>35</v>
      </c>
      <c r="F21" s="123">
        <v>34</v>
      </c>
      <c r="G21" s="128">
        <v>21</v>
      </c>
      <c r="H21" s="126">
        <v>36</v>
      </c>
      <c r="I21" s="7">
        <v>24</v>
      </c>
      <c r="J21" s="7">
        <v>16</v>
      </c>
      <c r="K21" s="7">
        <v>39</v>
      </c>
      <c r="L21" s="123">
        <v>26</v>
      </c>
      <c r="M21" s="123">
        <v>23</v>
      </c>
      <c r="N21">
        <f>AVERAGE(K21:M21)</f>
        <v>29.333333333333332</v>
      </c>
      <c r="O21">
        <f>AVERAGE(D21:M21)</f>
        <v>29.5</v>
      </c>
      <c r="P21" s="109">
        <v>1</v>
      </c>
      <c r="S21" s="102" t="s">
        <v>145</v>
      </c>
      <c r="T21" s="6">
        <v>6</v>
      </c>
      <c r="U21" s="12" t="s">
        <v>12</v>
      </c>
      <c r="V21" s="7">
        <v>72</v>
      </c>
      <c r="W21" s="7">
        <v>51</v>
      </c>
      <c r="X21" s="123">
        <v>57</v>
      </c>
      <c r="Y21" s="128">
        <v>33</v>
      </c>
      <c r="Z21" s="126">
        <v>64</v>
      </c>
      <c r="AA21" s="7">
        <v>41</v>
      </c>
      <c r="AB21" s="7">
        <v>29</v>
      </c>
      <c r="AC21" s="7">
        <v>55</v>
      </c>
      <c r="AD21" s="123">
        <v>33</v>
      </c>
      <c r="AE21" s="123">
        <v>28</v>
      </c>
      <c r="AF21">
        <f>AVERAGE(AC21:AE21)</f>
        <v>38.666666666666664</v>
      </c>
      <c r="AG21">
        <f>AVERAGE(V21:AE21)</f>
        <v>46.3</v>
      </c>
      <c r="AH21" s="109">
        <v>1</v>
      </c>
      <c r="AK21" s="102" t="s">
        <v>145</v>
      </c>
      <c r="AL21" s="6">
        <v>6</v>
      </c>
      <c r="AM21" s="12" t="s">
        <v>12</v>
      </c>
      <c r="AN21" s="7">
        <v>17</v>
      </c>
      <c r="AO21" s="7">
        <v>17</v>
      </c>
      <c r="AP21" s="123">
        <v>16</v>
      </c>
      <c r="AQ21" s="128">
        <v>13</v>
      </c>
      <c r="AR21" s="126">
        <v>47</v>
      </c>
      <c r="AS21" s="7">
        <v>7</v>
      </c>
      <c r="AT21" s="7">
        <v>9</v>
      </c>
      <c r="AU21" s="7">
        <v>21</v>
      </c>
      <c r="AV21" s="123">
        <v>16</v>
      </c>
      <c r="AW21" s="123">
        <v>8</v>
      </c>
      <c r="AX21">
        <f>AVERAGE(AU21:AW21)</f>
        <v>15</v>
      </c>
      <c r="AY21">
        <f>AVERAGE(AN21:AW21)</f>
        <v>17.100000000000001</v>
      </c>
      <c r="AZ21" s="109">
        <v>1</v>
      </c>
    </row>
    <row r="22" spans="1:52">
      <c r="A22" s="102" t="s">
        <v>158</v>
      </c>
      <c r="B22" s="6">
        <v>11</v>
      </c>
      <c r="C22" s="12" t="s">
        <v>12</v>
      </c>
      <c r="D22" s="7">
        <v>9</v>
      </c>
      <c r="E22" s="7">
        <v>17</v>
      </c>
      <c r="F22" s="7">
        <v>30</v>
      </c>
      <c r="G22" s="8">
        <v>32</v>
      </c>
      <c r="H22" s="8">
        <v>41</v>
      </c>
      <c r="I22" s="7">
        <v>39</v>
      </c>
      <c r="J22" s="7">
        <v>37</v>
      </c>
      <c r="K22" s="127">
        <v>75</v>
      </c>
      <c r="L22" s="7">
        <v>24</v>
      </c>
      <c r="M22" s="7">
        <v>32</v>
      </c>
      <c r="N22">
        <f>AVERAGE(K22:M22)</f>
        <v>43.666666666666664</v>
      </c>
      <c r="O22">
        <f>AVERAGE(D22:M22)</f>
        <v>33.6</v>
      </c>
      <c r="P22" s="109">
        <v>1</v>
      </c>
      <c r="S22" s="102" t="s">
        <v>158</v>
      </c>
      <c r="T22" s="6">
        <v>11</v>
      </c>
      <c r="U22" s="12" t="s">
        <v>12</v>
      </c>
      <c r="V22" s="7">
        <v>16</v>
      </c>
      <c r="W22" s="7">
        <v>30</v>
      </c>
      <c r="X22" s="7">
        <v>85</v>
      </c>
      <c r="Y22" s="8">
        <v>105</v>
      </c>
      <c r="Z22" s="8">
        <v>132</v>
      </c>
      <c r="AA22" s="7">
        <v>100</v>
      </c>
      <c r="AB22" s="7">
        <v>132</v>
      </c>
      <c r="AC22" s="127">
        <v>177</v>
      </c>
      <c r="AD22" s="7">
        <v>49</v>
      </c>
      <c r="AE22" s="7">
        <v>54</v>
      </c>
      <c r="AF22">
        <f>AVERAGE(AC22:AE22)</f>
        <v>93.333333333333329</v>
      </c>
      <c r="AG22">
        <f>AVERAGE(V22:AE22)</f>
        <v>88</v>
      </c>
      <c r="AH22" s="109">
        <v>1</v>
      </c>
      <c r="AK22" s="102" t="s">
        <v>158</v>
      </c>
      <c r="AL22" s="6">
        <v>11</v>
      </c>
      <c r="AM22" s="12" t="s">
        <v>12</v>
      </c>
      <c r="AN22" s="7">
        <v>9</v>
      </c>
      <c r="AO22" s="7">
        <v>11</v>
      </c>
      <c r="AP22" s="7">
        <v>27</v>
      </c>
      <c r="AQ22" s="8">
        <v>43</v>
      </c>
      <c r="AR22" s="8">
        <v>74</v>
      </c>
      <c r="AS22" s="7">
        <v>66</v>
      </c>
      <c r="AT22" s="7">
        <v>27</v>
      </c>
      <c r="AU22" s="127">
        <v>16</v>
      </c>
      <c r="AV22" s="7">
        <v>5</v>
      </c>
      <c r="AW22" s="7">
        <v>10</v>
      </c>
      <c r="AX22">
        <f>AVERAGE(AU22:AW22)</f>
        <v>10.333333333333334</v>
      </c>
      <c r="AY22">
        <f>AVERAGE(AN22:AW22)</f>
        <v>28.8</v>
      </c>
      <c r="AZ22" s="109">
        <v>1</v>
      </c>
    </row>
    <row r="23" spans="1:52">
      <c r="A23" s="102" t="s">
        <v>159</v>
      </c>
      <c r="B23" s="6">
        <v>12</v>
      </c>
      <c r="C23" s="12" t="s">
        <v>12</v>
      </c>
      <c r="D23" s="7">
        <v>18</v>
      </c>
      <c r="E23" s="7">
        <v>31</v>
      </c>
      <c r="F23" s="7">
        <v>41</v>
      </c>
      <c r="G23" s="7">
        <v>52</v>
      </c>
      <c r="H23" s="8">
        <v>68</v>
      </c>
      <c r="I23" s="79">
        <v>74</v>
      </c>
      <c r="J23" s="79">
        <v>75</v>
      </c>
      <c r="K23" s="7">
        <v>75</v>
      </c>
      <c r="L23" s="7">
        <v>75</v>
      </c>
      <c r="M23" s="7">
        <v>75</v>
      </c>
      <c r="N23">
        <f>AVERAGE(K23:M23)</f>
        <v>75</v>
      </c>
      <c r="O23">
        <f>AVERAGE(D23:M23)</f>
        <v>58.4</v>
      </c>
      <c r="P23" s="109">
        <v>1</v>
      </c>
      <c r="S23" s="102" t="s">
        <v>159</v>
      </c>
      <c r="T23" s="6">
        <v>12</v>
      </c>
      <c r="U23" s="12" t="s">
        <v>12</v>
      </c>
      <c r="V23" s="7">
        <v>22</v>
      </c>
      <c r="W23" s="7">
        <v>148</v>
      </c>
      <c r="X23" s="7">
        <v>340</v>
      </c>
      <c r="Y23" s="7">
        <v>438</v>
      </c>
      <c r="Z23" s="8">
        <v>693</v>
      </c>
      <c r="AA23" s="79">
        <v>567</v>
      </c>
      <c r="AB23" s="79">
        <v>539</v>
      </c>
      <c r="AC23" s="7">
        <v>512</v>
      </c>
      <c r="AD23" s="7">
        <v>372</v>
      </c>
      <c r="AE23" s="7">
        <v>364</v>
      </c>
      <c r="AF23">
        <f>AVERAGE(AC23:AE23)</f>
        <v>416</v>
      </c>
      <c r="AG23">
        <f>AVERAGE(V23:AE23)</f>
        <v>399.5</v>
      </c>
      <c r="AH23" s="109">
        <v>1</v>
      </c>
      <c r="AK23" s="102" t="s">
        <v>159</v>
      </c>
      <c r="AL23" s="6">
        <v>12</v>
      </c>
      <c r="AM23" s="12" t="s">
        <v>12</v>
      </c>
      <c r="AN23" s="7">
        <v>25</v>
      </c>
      <c r="AO23" s="7">
        <v>21</v>
      </c>
      <c r="AP23" s="7">
        <v>38</v>
      </c>
      <c r="AQ23" s="7">
        <v>63</v>
      </c>
      <c r="AR23" s="8">
        <v>24</v>
      </c>
      <c r="AS23" s="79">
        <v>105</v>
      </c>
      <c r="AT23" s="79">
        <v>245</v>
      </c>
      <c r="AU23" s="7">
        <v>137</v>
      </c>
      <c r="AV23" s="7">
        <v>59</v>
      </c>
      <c r="AW23" s="7">
        <v>15</v>
      </c>
      <c r="AX23">
        <f>AVERAGE(AU23:AW23)</f>
        <v>70.333333333333329</v>
      </c>
      <c r="AY23">
        <f>AVERAGE(AN23:AW23)</f>
        <v>73.2</v>
      </c>
      <c r="AZ23" s="109">
        <v>1</v>
      </c>
    </row>
    <row r="24" spans="1:52">
      <c r="M24" s="48" t="s">
        <v>252</v>
      </c>
      <c r="N24">
        <f>AVERAGE(N20:N23)</f>
        <v>55.75</v>
      </c>
      <c r="O24">
        <f>AVERAGE(O20:O23)</f>
        <v>42.300000000000004</v>
      </c>
      <c r="AE24" s="48" t="s">
        <v>252</v>
      </c>
      <c r="AF24">
        <f>AVERAGE(AF20:AF23)</f>
        <v>209.91666666666669</v>
      </c>
      <c r="AG24">
        <f>AVERAGE(AG20:AG23)</f>
        <v>167.8</v>
      </c>
      <c r="AW24" s="48" t="s">
        <v>252</v>
      </c>
      <c r="AX24">
        <f>AVERAGE(AX20:AX23)</f>
        <v>25.166666666666664</v>
      </c>
      <c r="AY24">
        <f>AVERAGE(AY20:AY23)</f>
        <v>30.725000000000001</v>
      </c>
    </row>
    <row r="27" spans="1:52">
      <c r="A27" s="113" t="s">
        <v>134</v>
      </c>
      <c r="B27" s="6">
        <v>2</v>
      </c>
      <c r="C27" s="12" t="s">
        <v>12</v>
      </c>
      <c r="D27" s="7">
        <v>10</v>
      </c>
      <c r="E27" s="7">
        <v>14</v>
      </c>
      <c r="F27" s="7">
        <v>23</v>
      </c>
      <c r="G27" s="8">
        <v>41</v>
      </c>
      <c r="H27" s="8">
        <v>75</v>
      </c>
      <c r="I27" s="7">
        <v>75</v>
      </c>
      <c r="J27" s="7">
        <v>75</v>
      </c>
      <c r="K27" s="10">
        <v>75</v>
      </c>
      <c r="L27" s="7">
        <v>75</v>
      </c>
      <c r="M27" s="7">
        <v>75</v>
      </c>
      <c r="N27">
        <f t="shared" ref="N27:N32" si="0">AVERAGE(K27:M27)</f>
        <v>75</v>
      </c>
      <c r="O27">
        <f t="shared" ref="O27:O32" si="1">AVERAGE(D27:M27)</f>
        <v>53.8</v>
      </c>
      <c r="P27" s="109">
        <v>30</v>
      </c>
      <c r="S27" s="113" t="s">
        <v>134</v>
      </c>
      <c r="T27" s="6">
        <v>2</v>
      </c>
      <c r="U27" s="12" t="s">
        <v>12</v>
      </c>
      <c r="V27" s="7">
        <v>16</v>
      </c>
      <c r="W27" s="7">
        <v>24</v>
      </c>
      <c r="X27" s="7">
        <v>61</v>
      </c>
      <c r="Y27" s="8">
        <v>99</v>
      </c>
      <c r="Z27" s="8">
        <v>224</v>
      </c>
      <c r="AA27" s="7">
        <v>240</v>
      </c>
      <c r="AB27" s="7">
        <v>337</v>
      </c>
      <c r="AC27" s="10">
        <v>491</v>
      </c>
      <c r="AD27" s="7">
        <v>711</v>
      </c>
      <c r="AE27" s="7">
        <v>449</v>
      </c>
      <c r="AF27">
        <f t="shared" ref="AF27:AF32" si="2">AVERAGE(AC27:AE27)</f>
        <v>550.33333333333337</v>
      </c>
      <c r="AG27">
        <f t="shared" ref="AG27:AG32" si="3">AVERAGE(V27:AE27)</f>
        <v>265.2</v>
      </c>
      <c r="AH27" s="109">
        <v>30</v>
      </c>
      <c r="AK27" s="113" t="s">
        <v>134</v>
      </c>
      <c r="AL27" s="6">
        <v>2</v>
      </c>
      <c r="AM27" s="12" t="s">
        <v>12</v>
      </c>
      <c r="AN27" s="7">
        <v>31</v>
      </c>
      <c r="AO27" s="7">
        <v>2</v>
      </c>
      <c r="AP27" s="7">
        <v>6</v>
      </c>
      <c r="AQ27" s="8">
        <v>281</v>
      </c>
      <c r="AR27" s="8">
        <v>29</v>
      </c>
      <c r="AS27" s="7">
        <v>15</v>
      </c>
      <c r="AT27" s="7">
        <v>28</v>
      </c>
      <c r="AU27" s="10">
        <v>2</v>
      </c>
      <c r="AV27" s="7">
        <v>5</v>
      </c>
      <c r="AW27" s="7">
        <v>1</v>
      </c>
      <c r="AX27">
        <f t="shared" ref="AX27:AX32" si="4">AVERAGE(AU27:AW27)</f>
        <v>2.6666666666666665</v>
      </c>
      <c r="AY27">
        <f t="shared" ref="AY27:AY32" si="5">AVERAGE(AN27:AW27)</f>
        <v>40</v>
      </c>
      <c r="AZ27" s="109">
        <v>30</v>
      </c>
    </row>
    <row r="28" spans="1:52" ht="21.6">
      <c r="A28" s="114" t="s">
        <v>148</v>
      </c>
      <c r="B28" s="6">
        <v>7</v>
      </c>
      <c r="C28" s="12" t="s">
        <v>12</v>
      </c>
      <c r="D28" s="7">
        <v>15</v>
      </c>
      <c r="E28" s="7">
        <v>28</v>
      </c>
      <c r="F28" s="7">
        <v>37</v>
      </c>
      <c r="G28" s="8">
        <v>45</v>
      </c>
      <c r="H28" s="8">
        <v>51</v>
      </c>
      <c r="I28" s="80">
        <v>53</v>
      </c>
      <c r="J28" s="80">
        <v>75</v>
      </c>
      <c r="K28" s="7">
        <v>75</v>
      </c>
      <c r="L28" s="7">
        <v>75</v>
      </c>
      <c r="M28" s="7">
        <v>75</v>
      </c>
      <c r="N28">
        <f t="shared" si="0"/>
        <v>75</v>
      </c>
      <c r="O28">
        <f t="shared" si="1"/>
        <v>52.9</v>
      </c>
      <c r="P28" s="109">
        <v>30</v>
      </c>
      <c r="S28" s="114" t="s">
        <v>148</v>
      </c>
      <c r="T28" s="6">
        <v>7</v>
      </c>
      <c r="U28" s="12" t="s">
        <v>12</v>
      </c>
      <c r="V28" s="7">
        <v>21</v>
      </c>
      <c r="W28" s="7">
        <v>39</v>
      </c>
      <c r="X28" s="7">
        <v>49</v>
      </c>
      <c r="Y28" s="8">
        <v>53</v>
      </c>
      <c r="Z28" s="8">
        <v>67</v>
      </c>
      <c r="AA28" s="80">
        <v>125</v>
      </c>
      <c r="AB28" s="80">
        <v>258</v>
      </c>
      <c r="AC28" s="7">
        <v>356</v>
      </c>
      <c r="AD28" s="7">
        <v>337</v>
      </c>
      <c r="AE28" s="7">
        <v>190</v>
      </c>
      <c r="AF28">
        <f t="shared" si="2"/>
        <v>294.33333333333331</v>
      </c>
      <c r="AG28">
        <f t="shared" si="3"/>
        <v>149.5</v>
      </c>
      <c r="AH28" s="109">
        <v>30</v>
      </c>
      <c r="AK28" s="114" t="s">
        <v>148</v>
      </c>
      <c r="AL28" s="6">
        <v>7</v>
      </c>
      <c r="AM28" s="12" t="s">
        <v>12</v>
      </c>
      <c r="AN28" s="7">
        <v>5</v>
      </c>
      <c r="AO28" s="7">
        <v>7</v>
      </c>
      <c r="AP28" s="7">
        <v>6</v>
      </c>
      <c r="AQ28" s="8">
        <v>2</v>
      </c>
      <c r="AR28" s="8">
        <v>2</v>
      </c>
      <c r="AS28" s="80">
        <v>10</v>
      </c>
      <c r="AT28" s="80">
        <v>3</v>
      </c>
      <c r="AU28" s="7">
        <v>5</v>
      </c>
      <c r="AV28" s="7">
        <v>1</v>
      </c>
      <c r="AW28" s="7">
        <v>0</v>
      </c>
      <c r="AX28">
        <f t="shared" si="4"/>
        <v>2</v>
      </c>
      <c r="AY28">
        <f t="shared" si="5"/>
        <v>4.0999999999999996</v>
      </c>
      <c r="AZ28" s="109">
        <v>30</v>
      </c>
    </row>
    <row r="29" spans="1:52">
      <c r="A29" s="102" t="s">
        <v>151</v>
      </c>
      <c r="B29" s="6">
        <v>8</v>
      </c>
      <c r="C29" s="12" t="s">
        <v>12</v>
      </c>
      <c r="D29" s="7">
        <v>17</v>
      </c>
      <c r="E29" s="7">
        <v>31</v>
      </c>
      <c r="F29" s="7">
        <v>40</v>
      </c>
      <c r="G29" s="7">
        <v>36</v>
      </c>
      <c r="H29" s="7">
        <v>41</v>
      </c>
      <c r="I29" s="81">
        <v>41</v>
      </c>
      <c r="J29" s="81">
        <v>41</v>
      </c>
      <c r="K29" s="7">
        <v>61</v>
      </c>
      <c r="L29" s="7">
        <v>75</v>
      </c>
      <c r="M29" s="7">
        <v>75</v>
      </c>
      <c r="N29">
        <f t="shared" si="0"/>
        <v>70.333333333333329</v>
      </c>
      <c r="O29">
        <f t="shared" si="1"/>
        <v>45.8</v>
      </c>
      <c r="P29" s="109">
        <v>30</v>
      </c>
      <c r="S29" s="102" t="s">
        <v>151</v>
      </c>
      <c r="T29" s="6">
        <v>8</v>
      </c>
      <c r="U29" s="12" t="s">
        <v>12</v>
      </c>
      <c r="V29" s="7">
        <v>27</v>
      </c>
      <c r="W29" s="7">
        <v>79</v>
      </c>
      <c r="X29" s="7">
        <v>78</v>
      </c>
      <c r="Y29" s="7">
        <v>110</v>
      </c>
      <c r="Z29" s="7">
        <v>92</v>
      </c>
      <c r="AA29" s="81">
        <v>88</v>
      </c>
      <c r="AB29" s="81">
        <v>62</v>
      </c>
      <c r="AC29" s="7">
        <v>93</v>
      </c>
      <c r="AD29" s="7">
        <v>142</v>
      </c>
      <c r="AE29" s="7">
        <v>135</v>
      </c>
      <c r="AF29">
        <f t="shared" si="2"/>
        <v>123.33333333333333</v>
      </c>
      <c r="AG29">
        <f t="shared" si="3"/>
        <v>90.6</v>
      </c>
      <c r="AH29" s="109">
        <v>30</v>
      </c>
      <c r="AK29" s="102" t="s">
        <v>151</v>
      </c>
      <c r="AL29" s="6">
        <v>8</v>
      </c>
      <c r="AM29" s="12" t="s">
        <v>12</v>
      </c>
      <c r="AN29" s="7">
        <v>12</v>
      </c>
      <c r="AO29" s="7">
        <v>8</v>
      </c>
      <c r="AP29" s="7">
        <v>6</v>
      </c>
      <c r="AQ29" s="7">
        <v>6</v>
      </c>
      <c r="AR29" s="7">
        <v>26</v>
      </c>
      <c r="AS29" s="81">
        <v>6</v>
      </c>
      <c r="AT29" s="81">
        <v>8</v>
      </c>
      <c r="AU29" s="7">
        <v>3</v>
      </c>
      <c r="AV29" s="7">
        <v>8</v>
      </c>
      <c r="AW29" s="7">
        <v>5</v>
      </c>
      <c r="AX29">
        <f t="shared" si="4"/>
        <v>5.333333333333333</v>
      </c>
      <c r="AY29">
        <f t="shared" si="5"/>
        <v>8.8000000000000007</v>
      </c>
      <c r="AZ29" s="109">
        <v>30</v>
      </c>
    </row>
    <row r="30" spans="1:52">
      <c r="A30" s="102" t="s">
        <v>160</v>
      </c>
      <c r="B30" s="6">
        <v>13</v>
      </c>
      <c r="C30" s="12" t="s">
        <v>12</v>
      </c>
      <c r="D30" s="7">
        <v>19</v>
      </c>
      <c r="E30" s="7">
        <v>60</v>
      </c>
      <c r="F30" s="7">
        <v>75</v>
      </c>
      <c r="G30" s="8">
        <v>75</v>
      </c>
      <c r="H30" s="8">
        <v>75</v>
      </c>
      <c r="I30" s="7">
        <v>75</v>
      </c>
      <c r="J30" s="7">
        <v>75</v>
      </c>
      <c r="K30" s="7">
        <v>75</v>
      </c>
      <c r="L30" s="7">
        <v>75</v>
      </c>
      <c r="M30" s="7">
        <v>75</v>
      </c>
      <c r="N30">
        <f t="shared" si="0"/>
        <v>75</v>
      </c>
      <c r="O30">
        <f t="shared" si="1"/>
        <v>67.900000000000006</v>
      </c>
      <c r="P30" s="109">
        <v>30</v>
      </c>
      <c r="S30" s="102" t="s">
        <v>160</v>
      </c>
      <c r="T30" s="6">
        <v>13</v>
      </c>
      <c r="U30" s="12" t="s">
        <v>12</v>
      </c>
      <c r="V30" s="7">
        <v>26</v>
      </c>
      <c r="W30" s="7">
        <v>217</v>
      </c>
      <c r="X30" s="7">
        <v>327</v>
      </c>
      <c r="Y30" s="8">
        <v>228</v>
      </c>
      <c r="Z30" s="8">
        <v>252</v>
      </c>
      <c r="AA30" s="7">
        <v>268</v>
      </c>
      <c r="AB30" s="7">
        <v>320</v>
      </c>
      <c r="AC30" s="7">
        <v>259</v>
      </c>
      <c r="AD30" s="7">
        <v>209</v>
      </c>
      <c r="AE30" s="7">
        <v>231</v>
      </c>
      <c r="AF30">
        <f t="shared" si="2"/>
        <v>233</v>
      </c>
      <c r="AG30">
        <f t="shared" si="3"/>
        <v>233.7</v>
      </c>
      <c r="AH30" s="109">
        <v>30</v>
      </c>
      <c r="AK30" s="102" t="s">
        <v>160</v>
      </c>
      <c r="AL30" s="6">
        <v>13</v>
      </c>
      <c r="AM30" s="12" t="s">
        <v>12</v>
      </c>
      <c r="AN30" s="7">
        <v>16</v>
      </c>
      <c r="AO30" s="7">
        <v>0</v>
      </c>
      <c r="AP30" s="7">
        <v>17</v>
      </c>
      <c r="AQ30" s="8">
        <v>8</v>
      </c>
      <c r="AR30" s="8">
        <v>17</v>
      </c>
      <c r="AS30" s="7">
        <v>1</v>
      </c>
      <c r="AT30" s="7">
        <v>4</v>
      </c>
      <c r="AU30" s="7">
        <v>27</v>
      </c>
      <c r="AV30" s="7">
        <v>29</v>
      </c>
      <c r="AW30" s="7">
        <v>8</v>
      </c>
      <c r="AX30">
        <f t="shared" si="4"/>
        <v>21.333333333333332</v>
      </c>
      <c r="AY30">
        <f t="shared" si="5"/>
        <v>12.7</v>
      </c>
      <c r="AZ30" s="109">
        <v>30</v>
      </c>
    </row>
    <row r="31" spans="1:52">
      <c r="A31" s="102" t="s">
        <v>163</v>
      </c>
      <c r="B31" s="6">
        <v>15</v>
      </c>
      <c r="C31" s="12" t="s">
        <v>12</v>
      </c>
      <c r="D31" s="7">
        <v>2</v>
      </c>
      <c r="E31" s="7">
        <v>40</v>
      </c>
      <c r="F31" s="7">
        <v>42</v>
      </c>
      <c r="G31" s="8">
        <v>35</v>
      </c>
      <c r="H31" s="8">
        <v>32</v>
      </c>
      <c r="I31" s="7">
        <v>41</v>
      </c>
      <c r="J31" s="7">
        <v>21</v>
      </c>
      <c r="K31" s="127">
        <v>58</v>
      </c>
      <c r="L31" s="7">
        <v>19</v>
      </c>
      <c r="M31" s="7">
        <v>18</v>
      </c>
      <c r="N31">
        <f t="shared" si="0"/>
        <v>31.666666666666668</v>
      </c>
      <c r="O31">
        <f t="shared" si="1"/>
        <v>30.8</v>
      </c>
      <c r="P31" s="109">
        <v>30</v>
      </c>
      <c r="S31" s="102" t="s">
        <v>163</v>
      </c>
      <c r="T31" s="6">
        <v>15</v>
      </c>
      <c r="U31" s="12" t="s">
        <v>12</v>
      </c>
      <c r="V31" s="7">
        <v>4</v>
      </c>
      <c r="W31" s="7">
        <v>98</v>
      </c>
      <c r="X31" s="7">
        <v>121</v>
      </c>
      <c r="Y31" s="8">
        <v>87</v>
      </c>
      <c r="Z31" s="8">
        <v>105</v>
      </c>
      <c r="AA31" s="7">
        <v>89</v>
      </c>
      <c r="AB31" s="7">
        <v>48</v>
      </c>
      <c r="AC31" s="127">
        <v>123</v>
      </c>
      <c r="AD31" s="7">
        <v>28</v>
      </c>
      <c r="AE31" s="7">
        <v>34</v>
      </c>
      <c r="AF31">
        <f t="shared" si="2"/>
        <v>61.666666666666664</v>
      </c>
      <c r="AG31">
        <f t="shared" si="3"/>
        <v>73.7</v>
      </c>
      <c r="AH31" s="109">
        <v>30</v>
      </c>
      <c r="AK31" s="102" t="s">
        <v>163</v>
      </c>
      <c r="AL31" s="6">
        <v>15</v>
      </c>
      <c r="AM31" s="12" t="s">
        <v>12</v>
      </c>
      <c r="AN31" s="7">
        <v>9</v>
      </c>
      <c r="AO31" s="7">
        <v>10</v>
      </c>
      <c r="AP31" s="7">
        <v>8</v>
      </c>
      <c r="AQ31" s="8">
        <v>9</v>
      </c>
      <c r="AR31" s="8">
        <v>28</v>
      </c>
      <c r="AS31" s="7">
        <v>30</v>
      </c>
      <c r="AT31" s="7">
        <v>23</v>
      </c>
      <c r="AU31" s="127">
        <v>35</v>
      </c>
      <c r="AV31" s="7">
        <v>12</v>
      </c>
      <c r="AW31" s="7">
        <v>23</v>
      </c>
      <c r="AX31">
        <f t="shared" si="4"/>
        <v>23.333333333333332</v>
      </c>
      <c r="AY31">
        <f t="shared" si="5"/>
        <v>18.7</v>
      </c>
      <c r="AZ31" s="109">
        <v>30</v>
      </c>
    </row>
    <row r="32" spans="1:52">
      <c r="A32" s="113" t="s">
        <v>164</v>
      </c>
      <c r="B32" s="6">
        <v>16</v>
      </c>
      <c r="C32" s="12" t="s">
        <v>12</v>
      </c>
      <c r="D32" s="7">
        <v>20</v>
      </c>
      <c r="E32" s="7">
        <v>27</v>
      </c>
      <c r="F32" s="7">
        <v>36</v>
      </c>
      <c r="G32" s="8">
        <v>42</v>
      </c>
      <c r="H32" s="8">
        <v>35</v>
      </c>
      <c r="I32" s="7">
        <v>36</v>
      </c>
      <c r="J32" s="7">
        <v>45</v>
      </c>
      <c r="K32" s="7">
        <v>39</v>
      </c>
      <c r="L32" s="7">
        <v>47</v>
      </c>
      <c r="M32" s="7">
        <v>22</v>
      </c>
      <c r="N32">
        <f t="shared" si="0"/>
        <v>36</v>
      </c>
      <c r="O32">
        <f t="shared" si="1"/>
        <v>34.9</v>
      </c>
      <c r="P32" s="109">
        <v>30</v>
      </c>
      <c r="S32" s="113" t="s">
        <v>164</v>
      </c>
      <c r="T32" s="6">
        <v>16</v>
      </c>
      <c r="U32" s="12" t="s">
        <v>12</v>
      </c>
      <c r="V32" s="7">
        <v>38</v>
      </c>
      <c r="W32" s="7">
        <v>44</v>
      </c>
      <c r="X32" s="7">
        <v>59</v>
      </c>
      <c r="Y32" s="8">
        <v>62</v>
      </c>
      <c r="Z32" s="8">
        <v>53</v>
      </c>
      <c r="AA32" s="7">
        <v>59</v>
      </c>
      <c r="AB32" s="7">
        <v>66</v>
      </c>
      <c r="AC32" s="7">
        <v>50</v>
      </c>
      <c r="AD32" s="7">
        <v>71</v>
      </c>
      <c r="AE32" s="7">
        <v>34</v>
      </c>
      <c r="AF32">
        <f t="shared" si="2"/>
        <v>51.666666666666664</v>
      </c>
      <c r="AG32">
        <f t="shared" si="3"/>
        <v>53.6</v>
      </c>
      <c r="AH32" s="109">
        <v>30</v>
      </c>
      <c r="AK32" s="113" t="s">
        <v>164</v>
      </c>
      <c r="AL32" s="6">
        <v>16</v>
      </c>
      <c r="AM32" s="12" t="s">
        <v>12</v>
      </c>
      <c r="AN32" s="7">
        <v>43</v>
      </c>
      <c r="AO32" s="7">
        <v>25</v>
      </c>
      <c r="AP32" s="7">
        <v>12</v>
      </c>
      <c r="AQ32" s="8">
        <v>3</v>
      </c>
      <c r="AR32" s="8">
        <v>24</v>
      </c>
      <c r="AS32" s="7">
        <v>9</v>
      </c>
      <c r="AT32" s="7">
        <v>9</v>
      </c>
      <c r="AU32" s="7">
        <v>5</v>
      </c>
      <c r="AV32" s="7">
        <v>33</v>
      </c>
      <c r="AW32" s="7">
        <v>17</v>
      </c>
      <c r="AX32">
        <f t="shared" si="4"/>
        <v>18.333333333333332</v>
      </c>
      <c r="AY32">
        <f t="shared" si="5"/>
        <v>18</v>
      </c>
      <c r="AZ32" s="109">
        <v>30</v>
      </c>
    </row>
    <row r="33" spans="1:52">
      <c r="M33" s="48" t="s">
        <v>252</v>
      </c>
      <c r="N33">
        <f>AVERAGE(N27:N32)</f>
        <v>60.5</v>
      </c>
      <c r="O33">
        <f>AVERAGE(O27:O32)</f>
        <v>47.683333333333337</v>
      </c>
      <c r="AE33" s="48" t="s">
        <v>252</v>
      </c>
      <c r="AF33">
        <f>AVERAGE(AF27:AF32)</f>
        <v>219.05555555555557</v>
      </c>
      <c r="AG33">
        <f>AVERAGE(AG27:AG32)</f>
        <v>144.38333333333335</v>
      </c>
      <c r="AW33" s="48" t="s">
        <v>252</v>
      </c>
      <c r="AX33">
        <f>AVERAGE(AX27:AX32)</f>
        <v>12.166666666666666</v>
      </c>
      <c r="AY33">
        <f>AVERAGE(AY27:AY32)</f>
        <v>17.05</v>
      </c>
    </row>
    <row r="36" spans="1:52">
      <c r="A36" s="102" t="s">
        <v>131</v>
      </c>
      <c r="B36" s="6">
        <v>1</v>
      </c>
      <c r="C36" s="12" t="s">
        <v>12</v>
      </c>
      <c r="D36" s="7">
        <v>32</v>
      </c>
      <c r="E36" s="7">
        <v>75</v>
      </c>
      <c r="F36" s="7">
        <v>75</v>
      </c>
      <c r="G36" s="8">
        <v>75</v>
      </c>
      <c r="H36" s="8">
        <v>75</v>
      </c>
      <c r="I36" s="7">
        <v>75</v>
      </c>
      <c r="J36" s="7">
        <v>75</v>
      </c>
      <c r="K36" s="7">
        <v>75</v>
      </c>
      <c r="L36" s="7">
        <v>75</v>
      </c>
      <c r="M36" s="7">
        <v>75</v>
      </c>
      <c r="N36">
        <f>AVERAGE(K36:M36)</f>
        <v>75</v>
      </c>
      <c r="O36">
        <f>AVERAGE(D36:M36)</f>
        <v>70.7</v>
      </c>
      <c r="P36" s="109" t="s">
        <v>13</v>
      </c>
      <c r="S36" s="102" t="s">
        <v>131</v>
      </c>
      <c r="T36" s="6">
        <v>1</v>
      </c>
      <c r="U36" s="12" t="s">
        <v>12</v>
      </c>
      <c r="V36" s="7">
        <v>58</v>
      </c>
      <c r="W36" s="7">
        <v>236</v>
      </c>
      <c r="X36" s="7">
        <v>232</v>
      </c>
      <c r="Y36" s="8">
        <v>188</v>
      </c>
      <c r="Z36" s="8">
        <v>214</v>
      </c>
      <c r="AA36" s="7">
        <v>171</v>
      </c>
      <c r="AB36" s="7">
        <v>331</v>
      </c>
      <c r="AC36" s="7">
        <v>409</v>
      </c>
      <c r="AD36" s="7">
        <v>449</v>
      </c>
      <c r="AE36" s="7">
        <v>312</v>
      </c>
      <c r="AF36">
        <f>AVERAGE(AC36:AE36)</f>
        <v>390</v>
      </c>
      <c r="AG36">
        <f>AVERAGE(V36:AE36)</f>
        <v>260</v>
      </c>
      <c r="AH36" s="109" t="s">
        <v>13</v>
      </c>
      <c r="AK36" s="102" t="s">
        <v>131</v>
      </c>
      <c r="AL36" s="6">
        <v>1</v>
      </c>
      <c r="AM36" s="12" t="s">
        <v>12</v>
      </c>
      <c r="AN36" s="7">
        <v>10</v>
      </c>
      <c r="AO36" s="7">
        <v>9</v>
      </c>
      <c r="AP36" s="7">
        <v>1</v>
      </c>
      <c r="AQ36" s="8">
        <v>2</v>
      </c>
      <c r="AR36" s="8">
        <v>0</v>
      </c>
      <c r="AS36" s="7">
        <v>5</v>
      </c>
      <c r="AT36" s="7">
        <v>16</v>
      </c>
      <c r="AU36" s="7">
        <v>4</v>
      </c>
      <c r="AV36" s="7">
        <v>9</v>
      </c>
      <c r="AW36" s="7">
        <v>2</v>
      </c>
      <c r="AX36">
        <f>AVERAGE(AU36:AW36)</f>
        <v>5</v>
      </c>
      <c r="AY36">
        <f>AVERAGE(AN36:AW36)</f>
        <v>5.8</v>
      </c>
      <c r="AZ36" s="109" t="s">
        <v>13</v>
      </c>
    </row>
    <row r="37" spans="1:52" ht="27.6">
      <c r="A37" s="115" t="s">
        <v>161</v>
      </c>
      <c r="B37" s="6">
        <v>14</v>
      </c>
      <c r="C37" s="12" t="s">
        <v>12</v>
      </c>
      <c r="D37" s="7">
        <v>22</v>
      </c>
      <c r="E37" s="7">
        <v>38</v>
      </c>
      <c r="F37" s="7">
        <v>34</v>
      </c>
      <c r="G37" s="8">
        <v>29</v>
      </c>
      <c r="H37" s="8">
        <v>23</v>
      </c>
      <c r="I37" s="7">
        <v>44</v>
      </c>
      <c r="J37" s="7">
        <v>50</v>
      </c>
      <c r="K37" s="7">
        <v>75</v>
      </c>
      <c r="L37" s="123">
        <v>26</v>
      </c>
      <c r="M37" s="7">
        <v>27</v>
      </c>
      <c r="N37">
        <f>AVERAGE(K37:M37)</f>
        <v>42.666666666666664</v>
      </c>
      <c r="O37">
        <f>AVERAGE(D37:M37)</f>
        <v>36.799999999999997</v>
      </c>
      <c r="P37" s="109" t="s">
        <v>13</v>
      </c>
      <c r="S37" s="115" t="s">
        <v>161</v>
      </c>
      <c r="T37" s="6">
        <v>14</v>
      </c>
      <c r="U37" s="12" t="s">
        <v>12</v>
      </c>
      <c r="V37" s="7">
        <v>67</v>
      </c>
      <c r="W37" s="7">
        <v>80</v>
      </c>
      <c r="X37" s="7">
        <v>56</v>
      </c>
      <c r="Y37" s="8">
        <v>45</v>
      </c>
      <c r="Z37" s="8">
        <v>35</v>
      </c>
      <c r="AA37" s="7">
        <v>69</v>
      </c>
      <c r="AB37" s="7">
        <v>117</v>
      </c>
      <c r="AC37" s="7">
        <v>116</v>
      </c>
      <c r="AD37" s="123">
        <v>72</v>
      </c>
      <c r="AE37" s="7">
        <v>52</v>
      </c>
      <c r="AF37">
        <f>AVERAGE(AC37:AE37)</f>
        <v>80</v>
      </c>
      <c r="AG37">
        <f>AVERAGE(V37:AE37)</f>
        <v>70.900000000000006</v>
      </c>
      <c r="AH37" s="109" t="s">
        <v>13</v>
      </c>
      <c r="AK37" s="115" t="s">
        <v>161</v>
      </c>
      <c r="AL37" s="6">
        <v>14</v>
      </c>
      <c r="AM37" s="12" t="s">
        <v>12</v>
      </c>
      <c r="AN37" s="7">
        <v>21</v>
      </c>
      <c r="AO37" s="7">
        <v>15</v>
      </c>
      <c r="AP37" s="7">
        <v>18</v>
      </c>
      <c r="AQ37" s="8">
        <v>5</v>
      </c>
      <c r="AR37" s="8">
        <v>19</v>
      </c>
      <c r="AS37" s="7">
        <v>24</v>
      </c>
      <c r="AT37" s="7">
        <v>31</v>
      </c>
      <c r="AU37" s="7">
        <v>37</v>
      </c>
      <c r="AV37" s="123">
        <v>15</v>
      </c>
      <c r="AW37" s="7">
        <v>17</v>
      </c>
      <c r="AX37">
        <f>AVERAGE(AU37:AW37)</f>
        <v>23</v>
      </c>
      <c r="AY37">
        <f>AVERAGE(AN37:AW37)</f>
        <v>20.2</v>
      </c>
      <c r="AZ37" s="109" t="s">
        <v>13</v>
      </c>
    </row>
    <row r="38" spans="1:52">
      <c r="M38" s="48" t="s">
        <v>252</v>
      </c>
      <c r="N38">
        <f>AVERAGE(N36:N37)</f>
        <v>58.833333333333329</v>
      </c>
      <c r="O38">
        <f>AVERAGE(O36:O37)</f>
        <v>53.75</v>
      </c>
      <c r="AE38" s="48" t="s">
        <v>252</v>
      </c>
      <c r="AF38">
        <f>AVERAGE(AF36:AF37)</f>
        <v>235</v>
      </c>
      <c r="AG38">
        <f>AVERAGE(AG36:AG37)</f>
        <v>165.45</v>
      </c>
      <c r="AW38" s="48" t="s">
        <v>252</v>
      </c>
      <c r="AX38">
        <f>AVERAGE(AX36:AX37)</f>
        <v>14</v>
      </c>
      <c r="AY38">
        <f>AVERAGE(AY36:AY37)</f>
        <v>13</v>
      </c>
    </row>
    <row r="41" spans="1:52">
      <c r="N41" s="48" t="s">
        <v>230</v>
      </c>
      <c r="O41" s="48" t="s">
        <v>231</v>
      </c>
      <c r="P41" t="s">
        <v>232</v>
      </c>
      <c r="AF41" s="48" t="s">
        <v>230</v>
      </c>
      <c r="AG41" s="48" t="s">
        <v>231</v>
      </c>
      <c r="AH41" t="s">
        <v>232</v>
      </c>
      <c r="AX41" s="48" t="s">
        <v>230</v>
      </c>
      <c r="AY41" s="48" t="s">
        <v>231</v>
      </c>
      <c r="AZ41" t="s">
        <v>232</v>
      </c>
    </row>
    <row r="42" spans="1:52" ht="21.6">
      <c r="A42" s="114" t="s">
        <v>140</v>
      </c>
      <c r="B42" s="6">
        <v>4</v>
      </c>
      <c r="C42" s="12" t="s">
        <v>224</v>
      </c>
      <c r="D42" s="7">
        <v>50</v>
      </c>
      <c r="E42" s="7">
        <v>37</v>
      </c>
      <c r="F42" s="7">
        <v>27</v>
      </c>
      <c r="G42" s="8">
        <v>12</v>
      </c>
      <c r="H42" s="8">
        <v>17</v>
      </c>
      <c r="I42" s="7">
        <v>14</v>
      </c>
      <c r="J42" s="7">
        <v>14</v>
      </c>
      <c r="K42" s="7">
        <v>35</v>
      </c>
      <c r="L42" s="7">
        <v>25</v>
      </c>
      <c r="M42" s="7">
        <v>22</v>
      </c>
      <c r="N42">
        <f>AVERAGE(K42:M42)</f>
        <v>27.333333333333332</v>
      </c>
      <c r="O42">
        <f>AVERAGE(D42:M42)</f>
        <v>25.3</v>
      </c>
      <c r="P42" t="s">
        <v>275</v>
      </c>
      <c r="S42" s="114" t="s">
        <v>140</v>
      </c>
      <c r="T42" s="6">
        <v>4</v>
      </c>
      <c r="U42" s="12" t="s">
        <v>224</v>
      </c>
      <c r="V42" s="7">
        <v>129</v>
      </c>
      <c r="W42" s="7">
        <v>62</v>
      </c>
      <c r="X42" s="7">
        <v>34</v>
      </c>
      <c r="Y42" s="8">
        <v>13</v>
      </c>
      <c r="Z42" s="8">
        <v>26</v>
      </c>
      <c r="AA42" s="7">
        <v>21</v>
      </c>
      <c r="AB42" s="7">
        <v>21</v>
      </c>
      <c r="AC42" s="7">
        <v>44</v>
      </c>
      <c r="AD42" s="7">
        <v>43</v>
      </c>
      <c r="AE42" s="7">
        <v>25</v>
      </c>
      <c r="AF42">
        <f>AVERAGE(AC42:AE42)</f>
        <v>37.333333333333336</v>
      </c>
      <c r="AG42">
        <f>AVERAGE(V42:AE42)</f>
        <v>41.8</v>
      </c>
      <c r="AH42" t="s">
        <v>275</v>
      </c>
      <c r="AK42" s="114" t="s">
        <v>140</v>
      </c>
      <c r="AL42" s="6">
        <v>4</v>
      </c>
      <c r="AM42" s="12" t="s">
        <v>224</v>
      </c>
      <c r="AN42" s="7">
        <v>46</v>
      </c>
      <c r="AO42" s="7">
        <v>39</v>
      </c>
      <c r="AP42" s="7">
        <v>36</v>
      </c>
      <c r="AQ42" s="8">
        <v>11</v>
      </c>
      <c r="AR42" s="8">
        <v>31</v>
      </c>
      <c r="AS42" s="7">
        <v>11</v>
      </c>
      <c r="AT42" s="7">
        <v>0</v>
      </c>
      <c r="AU42" s="7">
        <v>11</v>
      </c>
      <c r="AV42" s="7">
        <v>44</v>
      </c>
      <c r="AW42" s="7">
        <v>13</v>
      </c>
      <c r="AX42">
        <f>AVERAGE(AU42:AW42)</f>
        <v>22.666666666666668</v>
      </c>
      <c r="AY42">
        <f>AVERAGE(AN42:AW42)</f>
        <v>24.2</v>
      </c>
      <c r="AZ42" t="s">
        <v>275</v>
      </c>
    </row>
    <row r="43" spans="1:52">
      <c r="A43" s="102" t="s">
        <v>142</v>
      </c>
      <c r="B43" s="6">
        <v>5</v>
      </c>
      <c r="C43" s="12" t="s">
        <v>224</v>
      </c>
      <c r="D43" s="7">
        <v>11</v>
      </c>
      <c r="E43" s="7">
        <v>49</v>
      </c>
      <c r="F43" s="7">
        <v>67</v>
      </c>
      <c r="G43" s="8">
        <v>70</v>
      </c>
      <c r="H43" s="8">
        <v>60</v>
      </c>
      <c r="I43" s="7">
        <v>47</v>
      </c>
      <c r="J43" s="7">
        <v>66</v>
      </c>
      <c r="K43" s="7">
        <v>75</v>
      </c>
      <c r="L43" s="7">
        <v>50</v>
      </c>
      <c r="M43" s="7">
        <v>42</v>
      </c>
      <c r="N43">
        <f>AVERAGE(K43:M43)</f>
        <v>55.666666666666664</v>
      </c>
      <c r="O43">
        <f>AVERAGE(D43:M43)</f>
        <v>53.7</v>
      </c>
      <c r="P43" t="s">
        <v>275</v>
      </c>
      <c r="S43" s="102" t="s">
        <v>142</v>
      </c>
      <c r="T43" s="6">
        <v>5</v>
      </c>
      <c r="U43" s="12" t="s">
        <v>224</v>
      </c>
      <c r="V43" s="7">
        <v>21</v>
      </c>
      <c r="W43" s="7">
        <v>133</v>
      </c>
      <c r="X43" s="7">
        <v>143</v>
      </c>
      <c r="Y43" s="8">
        <v>179</v>
      </c>
      <c r="Z43" s="8">
        <v>122</v>
      </c>
      <c r="AA43" s="7">
        <v>94</v>
      </c>
      <c r="AB43" s="7">
        <v>110</v>
      </c>
      <c r="AC43" s="7">
        <v>114</v>
      </c>
      <c r="AD43" s="7">
        <v>105</v>
      </c>
      <c r="AE43" s="7">
        <v>76</v>
      </c>
      <c r="AF43">
        <f>AVERAGE(AC43:AE43)</f>
        <v>98.333333333333329</v>
      </c>
      <c r="AG43">
        <f>AVERAGE(V43:AE43)</f>
        <v>109.7</v>
      </c>
      <c r="AH43" t="s">
        <v>275</v>
      </c>
      <c r="AK43" s="102" t="s">
        <v>142</v>
      </c>
      <c r="AL43" s="6">
        <v>5</v>
      </c>
      <c r="AM43" s="12" t="s">
        <v>224</v>
      </c>
      <c r="AN43" s="7">
        <v>8</v>
      </c>
      <c r="AO43" s="7">
        <v>30</v>
      </c>
      <c r="AP43" s="7">
        <v>106</v>
      </c>
      <c r="AQ43" s="8">
        <v>15</v>
      </c>
      <c r="AR43" s="8">
        <v>57</v>
      </c>
      <c r="AS43" s="7">
        <v>39</v>
      </c>
      <c r="AT43" s="7">
        <v>16</v>
      </c>
      <c r="AU43" s="7">
        <v>47</v>
      </c>
      <c r="AV43" s="7">
        <v>26</v>
      </c>
      <c r="AW43" s="7">
        <v>4</v>
      </c>
      <c r="AX43">
        <f>AVERAGE(AU43:AW43)</f>
        <v>25.666666666666668</v>
      </c>
      <c r="AY43">
        <f>AVERAGE(AN43:AW43)</f>
        <v>34.799999999999997</v>
      </c>
      <c r="AZ43" t="s">
        <v>275</v>
      </c>
    </row>
    <row r="44" spans="1:52">
      <c r="A44" s="102" t="s">
        <v>154</v>
      </c>
      <c r="B44" s="6">
        <v>9</v>
      </c>
      <c r="C44" s="12" t="s">
        <v>224</v>
      </c>
      <c r="D44" s="7">
        <v>17</v>
      </c>
      <c r="E44" s="7">
        <v>24</v>
      </c>
      <c r="F44" s="7">
        <v>23</v>
      </c>
      <c r="G44" s="8">
        <v>18</v>
      </c>
      <c r="H44" s="8">
        <v>5</v>
      </c>
      <c r="I44" s="7">
        <v>8</v>
      </c>
      <c r="J44" s="7">
        <v>8</v>
      </c>
      <c r="K44" s="7">
        <v>8</v>
      </c>
      <c r="L44" s="7">
        <v>3</v>
      </c>
      <c r="M44" s="7">
        <v>4</v>
      </c>
      <c r="N44">
        <f>AVERAGE(K44:M44)</f>
        <v>5</v>
      </c>
      <c r="O44">
        <f>AVERAGE(D44:M44)</f>
        <v>11.8</v>
      </c>
      <c r="P44" t="s">
        <v>275</v>
      </c>
      <c r="S44" s="102" t="s">
        <v>154</v>
      </c>
      <c r="T44" s="6">
        <v>9</v>
      </c>
      <c r="U44" s="12" t="s">
        <v>224</v>
      </c>
      <c r="V44" s="7">
        <v>23</v>
      </c>
      <c r="W44" s="7">
        <v>30</v>
      </c>
      <c r="X44" s="7">
        <v>29</v>
      </c>
      <c r="Y44" s="8">
        <v>24</v>
      </c>
      <c r="Z44" s="8">
        <v>5</v>
      </c>
      <c r="AA44" s="7">
        <v>8</v>
      </c>
      <c r="AB44" s="7">
        <v>14</v>
      </c>
      <c r="AC44" s="7">
        <v>9</v>
      </c>
      <c r="AD44" s="7">
        <v>4</v>
      </c>
      <c r="AE44" s="7">
        <v>4</v>
      </c>
      <c r="AF44">
        <f>AVERAGE(AC44:AE44)</f>
        <v>5.666666666666667</v>
      </c>
      <c r="AG44">
        <f>AVERAGE(V44:AE44)</f>
        <v>15</v>
      </c>
      <c r="AH44" t="s">
        <v>275</v>
      </c>
      <c r="AK44" s="102" t="s">
        <v>154</v>
      </c>
      <c r="AL44" s="6">
        <v>9</v>
      </c>
      <c r="AM44" s="12" t="s">
        <v>224</v>
      </c>
      <c r="AN44" s="7">
        <v>9</v>
      </c>
      <c r="AO44" s="7">
        <v>4</v>
      </c>
      <c r="AP44" s="7">
        <v>3</v>
      </c>
      <c r="AQ44" s="8">
        <v>1</v>
      </c>
      <c r="AR44" s="8">
        <v>6</v>
      </c>
      <c r="AS44" s="7">
        <v>2</v>
      </c>
      <c r="AT44" s="7">
        <v>3</v>
      </c>
      <c r="AU44" s="7">
        <v>1</v>
      </c>
      <c r="AV44" s="7">
        <v>2</v>
      </c>
      <c r="AW44" s="7">
        <v>1</v>
      </c>
      <c r="AX44">
        <f>AVERAGE(AU44:AW44)</f>
        <v>1.3333333333333333</v>
      </c>
      <c r="AY44">
        <f>AVERAGE(AN44:AW44)</f>
        <v>3.2</v>
      </c>
      <c r="AZ44" t="s">
        <v>275</v>
      </c>
    </row>
    <row r="45" spans="1:52">
      <c r="A45" s="102" t="s">
        <v>157</v>
      </c>
      <c r="B45" s="6">
        <v>10</v>
      </c>
      <c r="C45" s="12" t="s">
        <v>224</v>
      </c>
      <c r="D45" s="123">
        <v>47</v>
      </c>
      <c r="E45" s="7">
        <v>19</v>
      </c>
      <c r="F45" s="69">
        <v>32</v>
      </c>
      <c r="G45" s="124">
        <v>30</v>
      </c>
      <c r="H45" s="124">
        <v>27</v>
      </c>
      <c r="I45" s="69">
        <v>9</v>
      </c>
      <c r="J45" s="69">
        <v>9</v>
      </c>
      <c r="K45" s="69">
        <v>27</v>
      </c>
      <c r="L45" s="69">
        <v>13</v>
      </c>
      <c r="M45" s="69">
        <v>16</v>
      </c>
      <c r="N45">
        <f>AVERAGE(K45:M45)</f>
        <v>18.666666666666668</v>
      </c>
      <c r="O45">
        <f>AVERAGE(D45:M45)</f>
        <v>22.9</v>
      </c>
      <c r="P45" t="s">
        <v>275</v>
      </c>
      <c r="S45" s="102" t="s">
        <v>157</v>
      </c>
      <c r="T45" s="6">
        <v>10</v>
      </c>
      <c r="U45" s="12" t="s">
        <v>224</v>
      </c>
      <c r="V45" s="123">
        <v>79</v>
      </c>
      <c r="W45" s="7">
        <v>39</v>
      </c>
      <c r="X45" s="69">
        <v>63</v>
      </c>
      <c r="Y45" s="124">
        <v>49</v>
      </c>
      <c r="Z45" s="124">
        <v>40</v>
      </c>
      <c r="AA45" s="69">
        <v>10</v>
      </c>
      <c r="AB45" s="69">
        <v>20</v>
      </c>
      <c r="AC45" s="69">
        <v>38</v>
      </c>
      <c r="AD45" s="69">
        <v>27</v>
      </c>
      <c r="AE45" s="69">
        <v>26</v>
      </c>
      <c r="AF45">
        <f>AVERAGE(AC45:AE45)</f>
        <v>30.333333333333332</v>
      </c>
      <c r="AG45">
        <f>AVERAGE(V45:AE45)</f>
        <v>39.1</v>
      </c>
      <c r="AH45" t="s">
        <v>275</v>
      </c>
      <c r="AK45" s="102" t="s">
        <v>157</v>
      </c>
      <c r="AL45" s="6">
        <v>10</v>
      </c>
      <c r="AM45" s="12" t="s">
        <v>224</v>
      </c>
      <c r="AN45" s="123">
        <v>38</v>
      </c>
      <c r="AO45" s="7">
        <v>6</v>
      </c>
      <c r="AP45" s="69">
        <v>9</v>
      </c>
      <c r="AQ45" s="124">
        <v>15</v>
      </c>
      <c r="AR45" s="124">
        <v>24</v>
      </c>
      <c r="AS45" s="69">
        <v>10</v>
      </c>
      <c r="AT45" s="69">
        <v>21</v>
      </c>
      <c r="AU45" s="69">
        <v>17</v>
      </c>
      <c r="AV45" s="69">
        <v>9</v>
      </c>
      <c r="AW45" s="69">
        <v>10</v>
      </c>
      <c r="AX45">
        <f>AVERAGE(AU45:AW45)</f>
        <v>12</v>
      </c>
      <c r="AY45">
        <f>AVERAGE(AN45:AW45)</f>
        <v>15.9</v>
      </c>
      <c r="AZ45" t="s">
        <v>275</v>
      </c>
    </row>
  </sheetData>
  <sortState xmlns:xlrd2="http://schemas.microsoft.com/office/spreadsheetml/2017/richdata2" ref="AK20:AZ37">
    <sortCondition ref="AZ20:AZ37"/>
    <sortCondition ref="AL20:AL3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D822-BD1E-477D-8CAF-B307EBB29D73}">
  <dimension ref="A1:M105"/>
  <sheetViews>
    <sheetView topLeftCell="A36" workbookViewId="0">
      <selection activeCell="B73" sqref="A73:B73"/>
    </sheetView>
  </sheetViews>
  <sheetFormatPr defaultRowHeight="14.45"/>
  <cols>
    <col min="1" max="1" width="23" customWidth="1"/>
    <col min="3" max="3" width="14.7109375" customWidth="1"/>
    <col min="4" max="4" width="9.85546875" bestFit="1" customWidth="1"/>
    <col min="5" max="5" width="10.7109375" customWidth="1"/>
    <col min="6" max="6" width="10" customWidth="1"/>
    <col min="7" max="8" width="10.28515625" customWidth="1"/>
    <col min="9" max="10" width="10" customWidth="1"/>
    <col min="11" max="11" width="10.28515625" customWidth="1"/>
    <col min="12" max="13" width="10.42578125" customWidth="1"/>
  </cols>
  <sheetData>
    <row r="1" spans="1:2">
      <c r="A1" t="s">
        <v>258</v>
      </c>
    </row>
    <row r="2" spans="1:2">
      <c r="A2" t="s">
        <v>276</v>
      </c>
    </row>
    <row r="3" spans="1:2">
      <c r="A3" t="s">
        <v>203</v>
      </c>
    </row>
    <row r="5" spans="1:2">
      <c r="A5" t="s">
        <v>9</v>
      </c>
    </row>
    <row r="6" spans="1:2">
      <c r="A6" t="s">
        <v>168</v>
      </c>
      <c r="B6" t="s">
        <v>169</v>
      </c>
    </row>
    <row r="7" spans="1:2">
      <c r="A7" t="s">
        <v>171</v>
      </c>
      <c r="B7" t="s">
        <v>172</v>
      </c>
    </row>
    <row r="8" spans="1:2">
      <c r="A8" t="s">
        <v>174</v>
      </c>
      <c r="B8" t="s">
        <v>83</v>
      </c>
    </row>
    <row r="9" spans="1:2">
      <c r="A9" t="s">
        <v>176</v>
      </c>
      <c r="B9" t="s">
        <v>177</v>
      </c>
    </row>
    <row r="10" spans="1:2">
      <c r="A10" t="s">
        <v>179</v>
      </c>
      <c r="B10" t="s">
        <v>180</v>
      </c>
    </row>
    <row r="11" spans="1:2">
      <c r="A11" t="s">
        <v>182</v>
      </c>
      <c r="B11" t="s">
        <v>83</v>
      </c>
    </row>
    <row r="12" spans="1:2">
      <c r="A12" t="s">
        <v>184</v>
      </c>
      <c r="B12" t="s">
        <v>185</v>
      </c>
    </row>
    <row r="13" spans="1:2">
      <c r="A13" t="s">
        <v>187</v>
      </c>
      <c r="B13" t="s">
        <v>188</v>
      </c>
    </row>
    <row r="14" spans="1:2">
      <c r="A14" t="s">
        <v>190</v>
      </c>
      <c r="B14" t="s">
        <v>191</v>
      </c>
    </row>
    <row r="15" spans="1:2">
      <c r="A15" t="s">
        <v>193</v>
      </c>
      <c r="B15" t="s">
        <v>83</v>
      </c>
    </row>
    <row r="16" spans="1:2">
      <c r="A16" s="129"/>
    </row>
    <row r="17" spans="1:13">
      <c r="A17" s="65" t="s">
        <v>268</v>
      </c>
    </row>
    <row r="18" spans="1:13">
      <c r="A18" s="68" t="s">
        <v>277</v>
      </c>
    </row>
    <row r="19" spans="1:13">
      <c r="A19" s="66" t="s">
        <v>278</v>
      </c>
      <c r="H19" s="10"/>
    </row>
    <row r="20" spans="1:13">
      <c r="A20" s="70" t="s">
        <v>279</v>
      </c>
    </row>
    <row r="21" spans="1:13">
      <c r="A21" s="10"/>
    </row>
    <row r="22" spans="1:13">
      <c r="A22" s="112"/>
    </row>
    <row r="24" spans="1:13">
      <c r="A24" s="10"/>
      <c r="B24" s="10"/>
      <c r="C24" s="10" t="s">
        <v>208</v>
      </c>
      <c r="D24" s="58" t="s">
        <v>209</v>
      </c>
      <c r="E24" s="58" t="s">
        <v>209</v>
      </c>
      <c r="F24" s="58" t="s">
        <v>209</v>
      </c>
      <c r="G24" s="58" t="s">
        <v>209</v>
      </c>
      <c r="H24" s="58" t="s">
        <v>209</v>
      </c>
      <c r="I24" s="58" t="s">
        <v>209</v>
      </c>
      <c r="J24" s="58" t="s">
        <v>209</v>
      </c>
      <c r="K24" s="58" t="s">
        <v>209</v>
      </c>
      <c r="L24" s="58" t="s">
        <v>209</v>
      </c>
      <c r="M24" s="58" t="s">
        <v>209</v>
      </c>
    </row>
    <row r="25" spans="1:13">
      <c r="A25" s="10" t="s">
        <v>210</v>
      </c>
      <c r="B25" s="10"/>
      <c r="C25" s="10"/>
      <c r="D25" s="5" t="s">
        <v>211</v>
      </c>
      <c r="E25" s="5" t="s">
        <v>212</v>
      </c>
      <c r="F25" s="5" t="s">
        <v>213</v>
      </c>
      <c r="G25" s="5" t="s">
        <v>214</v>
      </c>
      <c r="H25" s="5" t="s">
        <v>215</v>
      </c>
      <c r="I25" s="5" t="s">
        <v>217</v>
      </c>
      <c r="J25" s="5" t="s">
        <v>218</v>
      </c>
      <c r="K25" s="5" t="s">
        <v>219</v>
      </c>
      <c r="L25" s="5" t="s">
        <v>220</v>
      </c>
      <c r="M25" s="5" t="s">
        <v>221</v>
      </c>
    </row>
    <row r="26" spans="1:13">
      <c r="A26" s="10" t="s">
        <v>222</v>
      </c>
      <c r="B26" s="10" t="s">
        <v>223</v>
      </c>
      <c r="C26" s="10" t="s">
        <v>8</v>
      </c>
      <c r="D26" s="2">
        <v>44355</v>
      </c>
      <c r="E26" s="2">
        <v>44356</v>
      </c>
      <c r="F26" s="2">
        <v>44357</v>
      </c>
      <c r="G26" s="2">
        <v>44358</v>
      </c>
      <c r="H26" s="2">
        <v>44359</v>
      </c>
      <c r="I26" s="2">
        <v>44360</v>
      </c>
      <c r="J26" s="2">
        <v>44361</v>
      </c>
      <c r="K26" s="2">
        <v>44362</v>
      </c>
      <c r="L26" s="2">
        <v>44363</v>
      </c>
      <c r="M26" s="2">
        <v>44364</v>
      </c>
    </row>
    <row r="27" spans="1:13">
      <c r="A27" s="102" t="s">
        <v>167</v>
      </c>
      <c r="B27" s="6">
        <v>1</v>
      </c>
      <c r="C27" s="12" t="s">
        <v>12</v>
      </c>
      <c r="D27" s="7">
        <v>278</v>
      </c>
      <c r="E27" s="7"/>
      <c r="F27" s="7"/>
      <c r="G27" s="8">
        <v>289</v>
      </c>
      <c r="H27" s="8"/>
      <c r="I27" s="7"/>
      <c r="J27" s="7"/>
      <c r="K27" s="7">
        <v>279</v>
      </c>
      <c r="L27" s="7"/>
      <c r="M27" s="7"/>
    </row>
    <row r="28" spans="1:13">
      <c r="A28" s="113" t="s">
        <v>170</v>
      </c>
      <c r="B28" s="6">
        <v>2</v>
      </c>
      <c r="C28" s="12" t="s">
        <v>12</v>
      </c>
      <c r="D28" s="7">
        <v>285</v>
      </c>
      <c r="E28" s="7"/>
      <c r="F28" s="7"/>
      <c r="G28" s="8">
        <v>274</v>
      </c>
      <c r="H28" s="8"/>
      <c r="I28" s="7"/>
      <c r="J28" s="7"/>
      <c r="K28" s="7">
        <v>269</v>
      </c>
      <c r="L28" s="7"/>
      <c r="M28" s="7"/>
    </row>
    <row r="29" spans="1:13">
      <c r="A29" s="102" t="s">
        <v>173</v>
      </c>
      <c r="B29" s="6">
        <v>3</v>
      </c>
      <c r="C29" s="12" t="s">
        <v>224</v>
      </c>
      <c r="D29" s="7">
        <v>269</v>
      </c>
      <c r="E29" s="7"/>
      <c r="F29" s="7"/>
      <c r="G29" s="8">
        <v>275</v>
      </c>
      <c r="H29" s="8"/>
      <c r="I29" s="7"/>
      <c r="J29" s="7"/>
      <c r="K29" s="7">
        <v>274</v>
      </c>
      <c r="L29" s="7"/>
      <c r="M29" s="7"/>
    </row>
    <row r="30" spans="1:13" ht="24.75" customHeight="1">
      <c r="A30" s="113" t="s">
        <v>175</v>
      </c>
      <c r="B30" s="6">
        <v>4</v>
      </c>
      <c r="C30" s="12" t="s">
        <v>224</v>
      </c>
      <c r="D30" s="7">
        <v>281</v>
      </c>
      <c r="E30" s="7"/>
      <c r="F30" s="7"/>
      <c r="G30" s="8">
        <v>293</v>
      </c>
      <c r="H30" s="8"/>
      <c r="I30" s="7"/>
      <c r="J30" s="7"/>
      <c r="K30" s="7">
        <v>283</v>
      </c>
      <c r="L30" s="7"/>
      <c r="M30" s="7"/>
    </row>
    <row r="31" spans="1:13">
      <c r="A31" s="102" t="s">
        <v>178</v>
      </c>
      <c r="B31" s="6">
        <v>5</v>
      </c>
      <c r="C31" s="12" t="s">
        <v>224</v>
      </c>
      <c r="D31" s="7">
        <v>293</v>
      </c>
      <c r="E31" s="7"/>
      <c r="F31" s="7"/>
      <c r="G31" s="42">
        <v>287</v>
      </c>
      <c r="H31" s="8"/>
      <c r="I31" s="7"/>
      <c r="J31" s="7"/>
      <c r="K31" s="7">
        <v>300</v>
      </c>
      <c r="L31" s="7"/>
      <c r="M31" s="7"/>
    </row>
    <row r="32" spans="1:13">
      <c r="A32" s="102" t="s">
        <v>181</v>
      </c>
      <c r="B32" s="6">
        <v>6</v>
      </c>
      <c r="C32" s="12" t="s">
        <v>12</v>
      </c>
      <c r="D32" s="7">
        <v>262</v>
      </c>
      <c r="E32" s="7"/>
      <c r="F32" s="7"/>
      <c r="G32" s="7">
        <v>253</v>
      </c>
      <c r="H32" s="8"/>
      <c r="I32" s="79"/>
      <c r="J32" s="79"/>
      <c r="K32" s="7">
        <v>258</v>
      </c>
      <c r="L32" s="7"/>
      <c r="M32" s="7"/>
    </row>
    <row r="33" spans="1:13" ht="21.75" customHeight="1">
      <c r="A33" s="113" t="s">
        <v>183</v>
      </c>
      <c r="B33" s="6">
        <v>7</v>
      </c>
      <c r="C33" s="12" t="s">
        <v>12</v>
      </c>
      <c r="D33" s="7">
        <v>283</v>
      </c>
      <c r="E33" s="7"/>
      <c r="F33" s="7"/>
      <c r="G33" s="8">
        <v>270</v>
      </c>
      <c r="H33" s="8"/>
      <c r="I33" s="7"/>
      <c r="J33" s="7"/>
      <c r="K33" s="10">
        <v>280</v>
      </c>
      <c r="L33" s="7"/>
      <c r="M33" s="7"/>
    </row>
    <row r="34" spans="1:13">
      <c r="A34" s="102" t="s">
        <v>186</v>
      </c>
      <c r="B34" s="6">
        <v>8</v>
      </c>
      <c r="C34" s="12" t="s">
        <v>12</v>
      </c>
      <c r="D34" s="7">
        <v>286</v>
      </c>
      <c r="E34" s="7"/>
      <c r="F34" s="7"/>
      <c r="G34" s="8">
        <v>286</v>
      </c>
      <c r="H34" s="8"/>
      <c r="I34" s="80"/>
      <c r="J34" s="80"/>
      <c r="K34" s="42">
        <v>293</v>
      </c>
      <c r="L34" s="7"/>
      <c r="M34" s="7"/>
    </row>
    <row r="35" spans="1:13">
      <c r="A35" s="102" t="s">
        <v>189</v>
      </c>
      <c r="B35" s="6">
        <v>9</v>
      </c>
      <c r="C35" s="12" t="s">
        <v>12</v>
      </c>
      <c r="D35" s="7">
        <v>290</v>
      </c>
      <c r="E35" s="7"/>
      <c r="F35" s="7"/>
      <c r="G35" s="8">
        <v>252</v>
      </c>
      <c r="H35" s="8"/>
      <c r="I35" s="7"/>
      <c r="J35" s="7"/>
      <c r="K35" s="7">
        <v>286</v>
      </c>
      <c r="L35" s="7"/>
      <c r="M35" s="7"/>
    </row>
    <row r="36" spans="1:13">
      <c r="A36" s="102" t="s">
        <v>192</v>
      </c>
      <c r="B36" s="6">
        <v>10</v>
      </c>
      <c r="C36" s="12" t="s">
        <v>12</v>
      </c>
      <c r="D36" s="7">
        <v>268</v>
      </c>
      <c r="E36" s="7"/>
      <c r="F36" s="7"/>
      <c r="G36" s="138">
        <v>271</v>
      </c>
      <c r="H36" s="8"/>
      <c r="I36" s="7"/>
      <c r="J36" s="7"/>
      <c r="K36" s="7">
        <v>283</v>
      </c>
      <c r="L36" s="7"/>
      <c r="M36" s="7"/>
    </row>
    <row r="37" spans="1:13">
      <c r="A37" s="102" t="s">
        <v>194</v>
      </c>
      <c r="B37" s="6">
        <v>11</v>
      </c>
      <c r="C37" s="12" t="s">
        <v>224</v>
      </c>
      <c r="D37" s="7">
        <v>284</v>
      </c>
      <c r="E37" s="42"/>
      <c r="F37" s="42"/>
      <c r="G37" s="7">
        <v>285</v>
      </c>
      <c r="H37" s="42"/>
      <c r="I37" s="139"/>
      <c r="J37" s="81"/>
      <c r="K37" s="42">
        <v>313</v>
      </c>
      <c r="L37" s="7"/>
      <c r="M37" s="7"/>
    </row>
    <row r="38" spans="1:13">
      <c r="A38" s="102" t="s">
        <v>195</v>
      </c>
      <c r="B38" s="6">
        <v>12</v>
      </c>
      <c r="C38" s="12" t="s">
        <v>224</v>
      </c>
      <c r="D38" s="7">
        <v>276</v>
      </c>
      <c r="E38" s="7"/>
      <c r="F38" s="7"/>
      <c r="G38" s="8">
        <v>271</v>
      </c>
      <c r="H38" s="8"/>
      <c r="I38" s="7"/>
      <c r="J38" s="7"/>
      <c r="K38" s="7">
        <v>274</v>
      </c>
      <c r="L38" s="7"/>
      <c r="M38" s="7"/>
    </row>
    <row r="39" spans="1:13">
      <c r="A39" s="102" t="s">
        <v>196</v>
      </c>
      <c r="B39" s="6">
        <v>13</v>
      </c>
      <c r="C39" s="12" t="s">
        <v>12</v>
      </c>
      <c r="D39" s="7">
        <v>248</v>
      </c>
      <c r="E39" s="7"/>
      <c r="F39" s="7"/>
      <c r="G39" s="8">
        <v>259</v>
      </c>
      <c r="H39" s="8"/>
      <c r="I39" s="7"/>
      <c r="J39" s="7"/>
      <c r="K39" s="7">
        <v>259</v>
      </c>
      <c r="L39" s="7"/>
      <c r="M39" s="7"/>
    </row>
    <row r="40" spans="1:13">
      <c r="A40" s="113" t="s">
        <v>197</v>
      </c>
      <c r="B40" s="6">
        <v>14</v>
      </c>
      <c r="C40" s="12" t="s">
        <v>12</v>
      </c>
      <c r="D40" s="7">
        <v>285</v>
      </c>
      <c r="E40" s="7"/>
      <c r="F40" s="7"/>
      <c r="G40" s="8">
        <v>306</v>
      </c>
      <c r="H40" s="8"/>
      <c r="I40" s="7"/>
      <c r="J40" s="7"/>
      <c r="K40" s="7">
        <v>302</v>
      </c>
      <c r="L40" s="7"/>
      <c r="M40" s="7"/>
    </row>
    <row r="41" spans="1:13">
      <c r="A41" s="102" t="s">
        <v>198</v>
      </c>
      <c r="B41" s="6">
        <v>15</v>
      </c>
      <c r="C41" s="12" t="s">
        <v>12</v>
      </c>
      <c r="D41" s="7">
        <v>299</v>
      </c>
      <c r="E41" s="69"/>
      <c r="F41" s="7"/>
      <c r="G41" s="8">
        <v>326</v>
      </c>
      <c r="H41" s="8"/>
      <c r="I41" s="7"/>
      <c r="J41" s="7"/>
      <c r="K41" s="7">
        <v>334</v>
      </c>
      <c r="L41" s="7"/>
      <c r="M41" s="7"/>
    </row>
    <row r="42" spans="1:13">
      <c r="A42" s="113" t="s">
        <v>199</v>
      </c>
      <c r="B42" s="6">
        <v>16</v>
      </c>
      <c r="C42" s="12" t="s">
        <v>12</v>
      </c>
      <c r="D42" s="7">
        <v>295</v>
      </c>
      <c r="E42" s="7"/>
      <c r="F42" s="7"/>
      <c r="G42" s="8">
        <v>293</v>
      </c>
      <c r="H42" s="8"/>
      <c r="I42" s="7"/>
      <c r="J42" s="7"/>
      <c r="K42" s="7">
        <v>299</v>
      </c>
      <c r="L42" s="7"/>
      <c r="M42" s="7"/>
    </row>
    <row r="45" spans="1:13">
      <c r="A45" s="10"/>
      <c r="B45" s="10"/>
      <c r="C45" s="10" t="s">
        <v>208</v>
      </c>
      <c r="D45" s="58" t="s">
        <v>209</v>
      </c>
      <c r="E45" s="58" t="s">
        <v>209</v>
      </c>
      <c r="F45" s="58" t="s">
        <v>209</v>
      </c>
      <c r="G45" s="58" t="s">
        <v>209</v>
      </c>
      <c r="H45" s="58" t="s">
        <v>209</v>
      </c>
      <c r="I45" s="58" t="s">
        <v>209</v>
      </c>
      <c r="J45" s="58" t="s">
        <v>209</v>
      </c>
      <c r="K45" s="58" t="s">
        <v>209</v>
      </c>
      <c r="L45" s="58" t="s">
        <v>209</v>
      </c>
      <c r="M45" s="58" t="s">
        <v>209</v>
      </c>
    </row>
    <row r="46" spans="1:13">
      <c r="A46" s="10" t="s">
        <v>226</v>
      </c>
      <c r="B46" s="10"/>
      <c r="C46" s="10"/>
      <c r="D46" s="5" t="s">
        <v>211</v>
      </c>
      <c r="E46" s="5" t="s">
        <v>212</v>
      </c>
      <c r="F46" s="5" t="s">
        <v>213</v>
      </c>
      <c r="G46" s="5" t="s">
        <v>214</v>
      </c>
      <c r="H46" s="5" t="s">
        <v>215</v>
      </c>
      <c r="I46" s="5" t="s">
        <v>217</v>
      </c>
      <c r="J46" s="5" t="s">
        <v>218</v>
      </c>
      <c r="K46" s="5" t="s">
        <v>219</v>
      </c>
      <c r="L46" s="5" t="s">
        <v>220</v>
      </c>
      <c r="M46" s="5" t="s">
        <v>221</v>
      </c>
    </row>
    <row r="47" spans="1:13">
      <c r="A47" s="10" t="s">
        <v>222</v>
      </c>
      <c r="B47" s="10" t="s">
        <v>223</v>
      </c>
      <c r="C47" s="10" t="s">
        <v>8</v>
      </c>
      <c r="D47" s="2">
        <v>44355</v>
      </c>
      <c r="E47" s="2">
        <v>44356</v>
      </c>
      <c r="F47" s="2">
        <v>44357</v>
      </c>
      <c r="G47" s="2">
        <v>44358</v>
      </c>
      <c r="H47" s="2">
        <v>44359</v>
      </c>
      <c r="I47" s="2">
        <v>44360</v>
      </c>
      <c r="J47" s="2">
        <v>44361</v>
      </c>
      <c r="K47" s="2">
        <v>44362</v>
      </c>
      <c r="L47" s="2">
        <v>44363</v>
      </c>
      <c r="M47" s="2">
        <v>44364</v>
      </c>
    </row>
    <row r="48" spans="1:13">
      <c r="A48" s="102" t="s">
        <v>167</v>
      </c>
      <c r="B48" s="6">
        <v>1</v>
      </c>
      <c r="C48" s="12" t="s">
        <v>12</v>
      </c>
      <c r="D48" s="7">
        <v>27</v>
      </c>
      <c r="E48" s="7">
        <v>52</v>
      </c>
      <c r="F48" s="7">
        <v>31</v>
      </c>
      <c r="G48" s="8">
        <v>41</v>
      </c>
      <c r="H48" s="8">
        <v>33</v>
      </c>
      <c r="I48" s="7">
        <v>39</v>
      </c>
      <c r="J48" s="7">
        <v>22</v>
      </c>
      <c r="K48" s="7">
        <v>24</v>
      </c>
      <c r="L48" s="7">
        <v>21</v>
      </c>
      <c r="M48" s="7">
        <v>57</v>
      </c>
    </row>
    <row r="49" spans="1:13">
      <c r="A49" s="113" t="s">
        <v>170</v>
      </c>
      <c r="B49" s="6">
        <v>2</v>
      </c>
      <c r="C49" s="12" t="s">
        <v>12</v>
      </c>
      <c r="D49" s="7">
        <v>30</v>
      </c>
      <c r="E49" s="7">
        <v>45</v>
      </c>
      <c r="F49" s="7">
        <v>25</v>
      </c>
      <c r="G49" s="8">
        <v>46</v>
      </c>
      <c r="H49" s="8">
        <v>22</v>
      </c>
      <c r="I49" s="7">
        <v>23</v>
      </c>
      <c r="J49" s="7">
        <v>21</v>
      </c>
      <c r="K49" s="7">
        <v>28</v>
      </c>
      <c r="L49" s="7">
        <v>24</v>
      </c>
      <c r="M49" s="7">
        <v>28</v>
      </c>
    </row>
    <row r="50" spans="1:13">
      <c r="A50" s="102" t="s">
        <v>173</v>
      </c>
      <c r="B50" s="6">
        <v>3</v>
      </c>
      <c r="C50" s="12" t="s">
        <v>224</v>
      </c>
      <c r="D50" s="7">
        <v>9</v>
      </c>
      <c r="E50" s="7">
        <v>18</v>
      </c>
      <c r="F50" s="7">
        <v>11</v>
      </c>
      <c r="G50" s="8">
        <v>20</v>
      </c>
      <c r="H50" s="8">
        <v>23</v>
      </c>
      <c r="I50" s="7">
        <v>13</v>
      </c>
      <c r="J50" s="7">
        <v>18</v>
      </c>
      <c r="K50" s="7">
        <v>45</v>
      </c>
      <c r="L50" s="7">
        <v>10</v>
      </c>
      <c r="M50" s="7">
        <v>16</v>
      </c>
    </row>
    <row r="51" spans="1:13">
      <c r="A51" s="113" t="s">
        <v>175</v>
      </c>
      <c r="B51" s="6">
        <v>4</v>
      </c>
      <c r="C51" s="12" t="s">
        <v>224</v>
      </c>
      <c r="D51" s="7">
        <v>10</v>
      </c>
      <c r="E51" s="7">
        <v>75</v>
      </c>
      <c r="F51" s="7">
        <v>38</v>
      </c>
      <c r="G51" s="8">
        <v>22</v>
      </c>
      <c r="H51" s="8">
        <v>38</v>
      </c>
      <c r="I51" s="7">
        <v>41</v>
      </c>
      <c r="J51" s="7">
        <v>31</v>
      </c>
      <c r="K51" s="7">
        <v>17</v>
      </c>
      <c r="L51" s="7">
        <v>6</v>
      </c>
      <c r="M51" s="7">
        <v>23</v>
      </c>
    </row>
    <row r="52" spans="1:13">
      <c r="A52" s="102" t="s">
        <v>178</v>
      </c>
      <c r="B52" s="6">
        <v>5</v>
      </c>
      <c r="C52" s="12" t="s">
        <v>224</v>
      </c>
      <c r="D52" s="7">
        <v>75</v>
      </c>
      <c r="E52" s="7">
        <v>34</v>
      </c>
      <c r="F52" s="7">
        <v>57</v>
      </c>
      <c r="G52" s="42">
        <v>53</v>
      </c>
      <c r="H52" s="8">
        <v>68</v>
      </c>
      <c r="I52" s="7">
        <v>75</v>
      </c>
      <c r="J52" s="7">
        <v>57</v>
      </c>
      <c r="K52" s="7">
        <v>39</v>
      </c>
      <c r="L52" s="7">
        <v>46</v>
      </c>
      <c r="M52" s="7">
        <v>70</v>
      </c>
    </row>
    <row r="53" spans="1:13">
      <c r="A53" s="102" t="s">
        <v>181</v>
      </c>
      <c r="B53" s="6">
        <v>6</v>
      </c>
      <c r="C53" s="12" t="s">
        <v>12</v>
      </c>
      <c r="D53" s="7">
        <v>46</v>
      </c>
      <c r="E53" s="7">
        <v>32</v>
      </c>
      <c r="F53" s="7">
        <v>36</v>
      </c>
      <c r="G53" s="7">
        <v>36</v>
      </c>
      <c r="H53" s="8">
        <v>26</v>
      </c>
      <c r="I53" s="79">
        <v>24</v>
      </c>
      <c r="J53" s="79">
        <v>37</v>
      </c>
      <c r="K53" s="7">
        <v>21</v>
      </c>
      <c r="L53" s="7">
        <v>23</v>
      </c>
      <c r="M53" s="7">
        <v>25</v>
      </c>
    </row>
    <row r="54" spans="1:13">
      <c r="A54" s="113" t="s">
        <v>183</v>
      </c>
      <c r="B54" s="6">
        <v>7</v>
      </c>
      <c r="C54" s="12" t="s">
        <v>12</v>
      </c>
      <c r="D54" s="7">
        <v>29</v>
      </c>
      <c r="E54" s="7">
        <v>22</v>
      </c>
      <c r="F54" s="7">
        <v>39</v>
      </c>
      <c r="G54" s="8">
        <v>43</v>
      </c>
      <c r="H54" s="8">
        <v>52</v>
      </c>
      <c r="I54" s="7">
        <v>57</v>
      </c>
      <c r="J54" s="7">
        <v>61</v>
      </c>
      <c r="K54" s="10">
        <v>58</v>
      </c>
      <c r="L54" s="7">
        <v>59</v>
      </c>
      <c r="M54" s="7">
        <v>66</v>
      </c>
    </row>
    <row r="55" spans="1:13">
      <c r="A55" s="102" t="s">
        <v>186</v>
      </c>
      <c r="B55" s="6">
        <v>8</v>
      </c>
      <c r="C55" s="12" t="s">
        <v>12</v>
      </c>
      <c r="D55" s="7">
        <v>41</v>
      </c>
      <c r="E55" s="7">
        <v>71</v>
      </c>
      <c r="F55" s="7">
        <v>75</v>
      </c>
      <c r="G55" s="8">
        <v>55</v>
      </c>
      <c r="H55" s="8">
        <v>51</v>
      </c>
      <c r="I55" s="80">
        <v>18</v>
      </c>
      <c r="J55" s="80">
        <v>26</v>
      </c>
      <c r="K55" s="42">
        <v>27</v>
      </c>
      <c r="L55" s="7">
        <v>24</v>
      </c>
      <c r="M55" s="7">
        <v>23</v>
      </c>
    </row>
    <row r="56" spans="1:13">
      <c r="A56" s="102" t="s">
        <v>189</v>
      </c>
      <c r="B56" s="6">
        <v>9</v>
      </c>
      <c r="C56" s="12" t="s">
        <v>12</v>
      </c>
      <c r="D56" s="7">
        <v>75</v>
      </c>
      <c r="E56" s="7">
        <v>75</v>
      </c>
      <c r="F56" s="7">
        <v>75</v>
      </c>
      <c r="G56" s="8">
        <v>75</v>
      </c>
      <c r="H56" s="8">
        <v>75</v>
      </c>
      <c r="I56" s="7">
        <v>75</v>
      </c>
      <c r="J56" s="7">
        <v>75</v>
      </c>
      <c r="K56" s="7">
        <v>75</v>
      </c>
      <c r="L56" s="7">
        <v>75</v>
      </c>
      <c r="M56" s="7">
        <v>75</v>
      </c>
    </row>
    <row r="57" spans="1:13">
      <c r="A57" s="102" t="s">
        <v>192</v>
      </c>
      <c r="B57" s="6">
        <v>10</v>
      </c>
      <c r="C57" s="12" t="s">
        <v>12</v>
      </c>
      <c r="D57" s="7">
        <v>39</v>
      </c>
      <c r="E57" s="7">
        <v>45</v>
      </c>
      <c r="F57" s="7">
        <v>34</v>
      </c>
      <c r="G57" s="138">
        <v>37</v>
      </c>
      <c r="H57" s="8">
        <v>43</v>
      </c>
      <c r="I57" s="7">
        <v>32</v>
      </c>
      <c r="J57" s="7">
        <v>27</v>
      </c>
      <c r="K57" s="7">
        <v>35</v>
      </c>
      <c r="L57" s="7">
        <v>37</v>
      </c>
      <c r="M57" s="7">
        <v>74</v>
      </c>
    </row>
    <row r="58" spans="1:13">
      <c r="A58" s="102" t="s">
        <v>194</v>
      </c>
      <c r="B58" s="6">
        <v>11</v>
      </c>
      <c r="C58" s="12" t="s">
        <v>224</v>
      </c>
      <c r="D58" s="7">
        <v>33</v>
      </c>
      <c r="E58" s="42">
        <v>52</v>
      </c>
      <c r="F58" s="42">
        <v>22</v>
      </c>
      <c r="G58" s="7">
        <v>32</v>
      </c>
      <c r="H58" s="42">
        <v>62</v>
      </c>
      <c r="I58" s="139">
        <v>34</v>
      </c>
      <c r="J58" s="81">
        <v>28</v>
      </c>
      <c r="K58" s="42">
        <v>32</v>
      </c>
      <c r="L58" s="7">
        <v>48</v>
      </c>
      <c r="M58" s="7">
        <v>22</v>
      </c>
    </row>
    <row r="59" spans="1:13">
      <c r="A59" s="102" t="s">
        <v>195</v>
      </c>
      <c r="B59" s="6">
        <v>12</v>
      </c>
      <c r="C59" s="12" t="s">
        <v>224</v>
      </c>
      <c r="D59" s="7">
        <v>4</v>
      </c>
      <c r="E59" s="7">
        <v>2</v>
      </c>
      <c r="F59" s="7">
        <v>4</v>
      </c>
      <c r="G59" s="8">
        <v>8</v>
      </c>
      <c r="H59" s="8">
        <v>6</v>
      </c>
      <c r="I59" s="7">
        <v>5</v>
      </c>
      <c r="J59" s="7">
        <v>3</v>
      </c>
      <c r="K59" s="7">
        <v>5</v>
      </c>
      <c r="L59" s="7">
        <v>2</v>
      </c>
      <c r="M59" s="7">
        <v>2</v>
      </c>
    </row>
    <row r="60" spans="1:13">
      <c r="A60" s="102" t="s">
        <v>196</v>
      </c>
      <c r="B60" s="6">
        <v>13</v>
      </c>
      <c r="C60" s="12" t="s">
        <v>12</v>
      </c>
      <c r="D60" s="7">
        <v>6</v>
      </c>
      <c r="E60" s="7">
        <v>22</v>
      </c>
      <c r="F60" s="7">
        <v>39</v>
      </c>
      <c r="G60" s="8">
        <v>49</v>
      </c>
      <c r="H60" s="8">
        <v>40</v>
      </c>
      <c r="I60" s="7">
        <v>50</v>
      </c>
      <c r="J60" s="7">
        <v>51</v>
      </c>
      <c r="K60" s="7">
        <v>58</v>
      </c>
      <c r="L60" s="7">
        <v>58</v>
      </c>
      <c r="M60" s="7">
        <v>67</v>
      </c>
    </row>
    <row r="61" spans="1:13">
      <c r="A61" s="113" t="s">
        <v>197</v>
      </c>
      <c r="B61" s="6">
        <v>14</v>
      </c>
      <c r="C61" s="12" t="s">
        <v>12</v>
      </c>
      <c r="D61" s="7">
        <v>30</v>
      </c>
      <c r="E61" s="7">
        <v>39</v>
      </c>
      <c r="F61" s="7">
        <v>49</v>
      </c>
      <c r="G61" s="8">
        <v>64</v>
      </c>
      <c r="H61" s="8">
        <v>47</v>
      </c>
      <c r="I61" s="7">
        <v>61</v>
      </c>
      <c r="J61" s="7">
        <v>68</v>
      </c>
      <c r="K61" s="7">
        <v>75</v>
      </c>
      <c r="L61" s="7">
        <v>75</v>
      </c>
      <c r="M61" s="7">
        <v>75</v>
      </c>
    </row>
    <row r="62" spans="1:13">
      <c r="A62" s="102" t="s">
        <v>198</v>
      </c>
      <c r="B62" s="6">
        <v>15</v>
      </c>
      <c r="C62" s="12" t="s">
        <v>12</v>
      </c>
      <c r="D62" s="7">
        <v>29</v>
      </c>
      <c r="E62" s="69">
        <v>50</v>
      </c>
      <c r="F62" s="7">
        <v>41</v>
      </c>
      <c r="G62" s="8">
        <v>44</v>
      </c>
      <c r="H62" s="8">
        <v>48</v>
      </c>
      <c r="I62" s="7">
        <v>38</v>
      </c>
      <c r="J62" s="7">
        <v>51</v>
      </c>
      <c r="K62" s="7">
        <v>37</v>
      </c>
      <c r="L62" s="7">
        <v>64</v>
      </c>
      <c r="M62" s="7">
        <v>43</v>
      </c>
    </row>
    <row r="63" spans="1:13">
      <c r="A63" s="113" t="s">
        <v>199</v>
      </c>
      <c r="B63" s="6">
        <v>16</v>
      </c>
      <c r="C63" s="12" t="s">
        <v>12</v>
      </c>
      <c r="D63" s="7">
        <v>30</v>
      </c>
      <c r="E63" s="7">
        <v>42</v>
      </c>
      <c r="F63" s="7">
        <v>37</v>
      </c>
      <c r="G63" s="8">
        <v>33</v>
      </c>
      <c r="H63" s="8">
        <v>26</v>
      </c>
      <c r="I63" s="7">
        <v>30</v>
      </c>
      <c r="J63" s="7">
        <v>31</v>
      </c>
      <c r="K63" s="7">
        <v>26</v>
      </c>
      <c r="L63" s="7">
        <v>34</v>
      </c>
      <c r="M63" s="7">
        <v>31</v>
      </c>
    </row>
    <row r="66" spans="1:13">
      <c r="A66" s="10"/>
      <c r="B66" s="10"/>
      <c r="C66" s="10" t="s">
        <v>208</v>
      </c>
      <c r="D66" s="58" t="s">
        <v>209</v>
      </c>
      <c r="E66" s="58" t="s">
        <v>209</v>
      </c>
      <c r="F66" s="58" t="s">
        <v>209</v>
      </c>
      <c r="G66" s="58" t="s">
        <v>209</v>
      </c>
      <c r="H66" s="58" t="s">
        <v>209</v>
      </c>
      <c r="I66" s="58" t="s">
        <v>209</v>
      </c>
      <c r="J66" s="58" t="s">
        <v>209</v>
      </c>
      <c r="K66" s="58" t="s">
        <v>209</v>
      </c>
      <c r="L66" s="58" t="s">
        <v>209</v>
      </c>
      <c r="M66" s="58" t="s">
        <v>209</v>
      </c>
    </row>
    <row r="67" spans="1:13">
      <c r="A67" s="10" t="s">
        <v>280</v>
      </c>
      <c r="B67" s="10"/>
      <c r="C67" s="10"/>
      <c r="D67" s="5" t="s">
        <v>211</v>
      </c>
      <c r="E67" s="5" t="s">
        <v>212</v>
      </c>
      <c r="F67" s="5" t="s">
        <v>213</v>
      </c>
      <c r="G67" s="5" t="s">
        <v>214</v>
      </c>
      <c r="H67" s="5" t="s">
        <v>215</v>
      </c>
      <c r="I67" s="5" t="s">
        <v>217</v>
      </c>
      <c r="J67" s="5" t="s">
        <v>218</v>
      </c>
      <c r="K67" s="5" t="s">
        <v>219</v>
      </c>
      <c r="L67" s="5" t="s">
        <v>220</v>
      </c>
      <c r="M67" s="5" t="s">
        <v>221</v>
      </c>
    </row>
    <row r="68" spans="1:13">
      <c r="A68" s="10" t="s">
        <v>222</v>
      </c>
      <c r="B68" s="10" t="s">
        <v>223</v>
      </c>
      <c r="C68" s="10" t="s">
        <v>8</v>
      </c>
      <c r="D68" s="2">
        <v>44355</v>
      </c>
      <c r="E68" s="2">
        <v>44356</v>
      </c>
      <c r="F68" s="2">
        <v>44357</v>
      </c>
      <c r="G68" s="2">
        <v>44358</v>
      </c>
      <c r="H68" s="2">
        <v>44359</v>
      </c>
      <c r="I68" s="2">
        <v>44360</v>
      </c>
      <c r="J68" s="2">
        <v>44361</v>
      </c>
      <c r="K68" s="2">
        <v>44362</v>
      </c>
      <c r="L68" s="2">
        <v>44363</v>
      </c>
      <c r="M68" s="2">
        <v>44364</v>
      </c>
    </row>
    <row r="69" spans="1:13">
      <c r="A69" s="102" t="s">
        <v>167</v>
      </c>
      <c r="B69" s="6">
        <v>1</v>
      </c>
      <c r="C69" s="12" t="s">
        <v>12</v>
      </c>
      <c r="D69" s="7">
        <v>65</v>
      </c>
      <c r="E69" s="7">
        <v>236</v>
      </c>
      <c r="F69" s="7">
        <v>126</v>
      </c>
      <c r="G69" s="8">
        <v>117</v>
      </c>
      <c r="H69" s="8">
        <v>91</v>
      </c>
      <c r="I69" s="7">
        <v>62</v>
      </c>
      <c r="J69" s="7">
        <v>41</v>
      </c>
      <c r="K69" s="7">
        <v>62</v>
      </c>
      <c r="L69" s="7">
        <v>38</v>
      </c>
      <c r="M69" s="7">
        <v>139</v>
      </c>
    </row>
    <row r="70" spans="1:13">
      <c r="A70" s="113" t="s">
        <v>170</v>
      </c>
      <c r="B70" s="6">
        <v>2</v>
      </c>
      <c r="C70" s="12" t="s">
        <v>12</v>
      </c>
      <c r="D70" s="7">
        <v>65</v>
      </c>
      <c r="E70" s="7">
        <v>85</v>
      </c>
      <c r="F70" s="7">
        <v>44</v>
      </c>
      <c r="G70" s="8">
        <v>63</v>
      </c>
      <c r="H70" s="8">
        <v>38</v>
      </c>
      <c r="I70" s="7">
        <v>31</v>
      </c>
      <c r="J70" s="7">
        <v>27</v>
      </c>
      <c r="K70" s="7">
        <v>47</v>
      </c>
      <c r="L70" s="7">
        <v>31</v>
      </c>
      <c r="M70" s="7">
        <v>44</v>
      </c>
    </row>
    <row r="71" spans="1:13">
      <c r="A71" s="102" t="s">
        <v>173</v>
      </c>
      <c r="B71" s="6">
        <v>3</v>
      </c>
      <c r="C71" s="12" t="s">
        <v>224</v>
      </c>
      <c r="D71" s="7">
        <v>11</v>
      </c>
      <c r="E71" s="7">
        <v>29</v>
      </c>
      <c r="F71" s="7">
        <v>15</v>
      </c>
      <c r="G71" s="8">
        <v>30</v>
      </c>
      <c r="H71" s="8">
        <v>32</v>
      </c>
      <c r="I71" s="7">
        <v>20</v>
      </c>
      <c r="J71" s="7">
        <v>23</v>
      </c>
      <c r="K71" s="7">
        <v>108</v>
      </c>
      <c r="L71" s="7">
        <v>11</v>
      </c>
      <c r="M71" s="7">
        <v>23</v>
      </c>
    </row>
    <row r="72" spans="1:13">
      <c r="A72" s="113" t="s">
        <v>175</v>
      </c>
      <c r="B72" s="6">
        <v>4</v>
      </c>
      <c r="C72" s="12" t="s">
        <v>224</v>
      </c>
      <c r="D72" s="7">
        <v>11</v>
      </c>
      <c r="E72" s="7">
        <v>112</v>
      </c>
      <c r="F72" s="7">
        <v>55</v>
      </c>
      <c r="G72" s="8">
        <v>26</v>
      </c>
      <c r="H72" s="8">
        <v>48</v>
      </c>
      <c r="I72" s="7">
        <v>53</v>
      </c>
      <c r="J72" s="7">
        <v>37</v>
      </c>
      <c r="K72" s="7">
        <v>22</v>
      </c>
      <c r="L72" s="7">
        <v>9</v>
      </c>
      <c r="M72" s="7">
        <v>27</v>
      </c>
    </row>
    <row r="73" spans="1:13">
      <c r="A73" s="102" t="s">
        <v>178</v>
      </c>
      <c r="B73" s="6">
        <v>5</v>
      </c>
      <c r="C73" s="12" t="s">
        <v>224</v>
      </c>
      <c r="D73" s="7">
        <v>201</v>
      </c>
      <c r="E73" s="7">
        <v>60</v>
      </c>
      <c r="F73" s="7">
        <v>87</v>
      </c>
      <c r="G73" s="42">
        <v>76</v>
      </c>
      <c r="H73" s="8">
        <v>92</v>
      </c>
      <c r="I73" s="7">
        <v>111</v>
      </c>
      <c r="J73" s="7">
        <v>86</v>
      </c>
      <c r="K73" s="7">
        <v>52</v>
      </c>
      <c r="L73" s="7">
        <v>68</v>
      </c>
      <c r="M73" s="7">
        <v>92</v>
      </c>
    </row>
    <row r="74" spans="1:13">
      <c r="A74" s="102" t="s">
        <v>181</v>
      </c>
      <c r="B74" s="6">
        <v>6</v>
      </c>
      <c r="C74" s="12" t="s">
        <v>12</v>
      </c>
      <c r="D74" s="7">
        <v>111</v>
      </c>
      <c r="E74" s="7">
        <v>62</v>
      </c>
      <c r="F74" s="7">
        <v>70</v>
      </c>
      <c r="G74" s="7">
        <v>55</v>
      </c>
      <c r="H74" s="8">
        <v>39</v>
      </c>
      <c r="I74" s="79">
        <v>39</v>
      </c>
      <c r="J74" s="79">
        <v>51</v>
      </c>
      <c r="K74" s="7">
        <v>29</v>
      </c>
      <c r="L74" s="7">
        <v>37</v>
      </c>
      <c r="M74" s="7">
        <v>37</v>
      </c>
    </row>
    <row r="75" spans="1:13">
      <c r="A75" s="113" t="s">
        <v>183</v>
      </c>
      <c r="B75" s="6">
        <v>7</v>
      </c>
      <c r="C75" s="12" t="s">
        <v>12</v>
      </c>
      <c r="D75" s="7">
        <v>46</v>
      </c>
      <c r="E75" s="7">
        <v>28</v>
      </c>
      <c r="F75" s="7">
        <v>46</v>
      </c>
      <c r="G75" s="8">
        <v>46</v>
      </c>
      <c r="H75" s="8">
        <v>60</v>
      </c>
      <c r="I75" s="7">
        <v>80</v>
      </c>
      <c r="J75" s="7">
        <v>86</v>
      </c>
      <c r="K75" s="10">
        <v>85</v>
      </c>
      <c r="L75" s="7">
        <v>100</v>
      </c>
      <c r="M75" s="7">
        <v>93</v>
      </c>
    </row>
    <row r="76" spans="1:13">
      <c r="A76" s="102" t="s">
        <v>186</v>
      </c>
      <c r="B76" s="6">
        <v>8</v>
      </c>
      <c r="C76" s="12" t="s">
        <v>12</v>
      </c>
      <c r="D76" s="7">
        <v>95</v>
      </c>
      <c r="E76" s="7">
        <v>137</v>
      </c>
      <c r="F76" s="7">
        <v>133</v>
      </c>
      <c r="G76" s="8">
        <v>76</v>
      </c>
      <c r="H76" s="8">
        <v>97</v>
      </c>
      <c r="I76" s="80">
        <v>23</v>
      </c>
      <c r="J76" s="80">
        <v>37</v>
      </c>
      <c r="K76" s="42">
        <v>43</v>
      </c>
      <c r="L76" s="7">
        <v>31</v>
      </c>
      <c r="M76" s="7">
        <v>50</v>
      </c>
    </row>
    <row r="77" spans="1:13">
      <c r="A77" s="102" t="s">
        <v>189</v>
      </c>
      <c r="B77" s="6">
        <v>9</v>
      </c>
      <c r="C77" s="12" t="s">
        <v>12</v>
      </c>
      <c r="D77" s="7">
        <v>153</v>
      </c>
      <c r="E77" s="7">
        <v>204</v>
      </c>
      <c r="F77" s="7">
        <v>279</v>
      </c>
      <c r="G77" s="8">
        <v>331</v>
      </c>
      <c r="H77" s="8">
        <v>234</v>
      </c>
      <c r="I77" s="7">
        <v>223</v>
      </c>
      <c r="J77" s="7">
        <v>289</v>
      </c>
      <c r="K77" s="7">
        <v>206</v>
      </c>
      <c r="L77" s="7">
        <v>192</v>
      </c>
      <c r="M77" s="7">
        <v>200</v>
      </c>
    </row>
    <row r="78" spans="1:13">
      <c r="A78" s="102" t="s">
        <v>192</v>
      </c>
      <c r="B78" s="6">
        <v>10</v>
      </c>
      <c r="C78" s="12" t="s">
        <v>12</v>
      </c>
      <c r="D78" s="7">
        <v>77</v>
      </c>
      <c r="E78" s="7">
        <v>76</v>
      </c>
      <c r="F78" s="7">
        <v>54</v>
      </c>
      <c r="G78" s="138">
        <v>64</v>
      </c>
      <c r="H78" s="8">
        <v>90</v>
      </c>
      <c r="I78" s="7">
        <v>80</v>
      </c>
      <c r="J78" s="7">
        <v>82</v>
      </c>
      <c r="K78" s="7">
        <v>66</v>
      </c>
      <c r="L78" s="7">
        <v>54</v>
      </c>
      <c r="M78" s="7">
        <v>203</v>
      </c>
    </row>
    <row r="79" spans="1:13">
      <c r="A79" s="102" t="s">
        <v>194</v>
      </c>
      <c r="B79" s="6">
        <v>11</v>
      </c>
      <c r="C79" s="12" t="s">
        <v>224</v>
      </c>
      <c r="D79" s="7">
        <v>57</v>
      </c>
      <c r="E79" s="42">
        <v>81</v>
      </c>
      <c r="F79" s="42">
        <v>30</v>
      </c>
      <c r="G79" s="7">
        <v>54</v>
      </c>
      <c r="H79" s="42">
        <v>120</v>
      </c>
      <c r="I79" s="139">
        <v>55</v>
      </c>
      <c r="J79" s="81">
        <v>49</v>
      </c>
      <c r="K79" s="42">
        <v>48</v>
      </c>
      <c r="L79" s="7">
        <v>68</v>
      </c>
      <c r="M79" s="7">
        <v>36</v>
      </c>
    </row>
    <row r="80" spans="1:13">
      <c r="A80" s="102" t="s">
        <v>195</v>
      </c>
      <c r="B80" s="6">
        <v>12</v>
      </c>
      <c r="C80" s="12" t="s">
        <v>224</v>
      </c>
      <c r="D80" s="7">
        <v>7</v>
      </c>
      <c r="E80" s="7">
        <v>4</v>
      </c>
      <c r="F80" s="7">
        <v>6</v>
      </c>
      <c r="G80" s="8">
        <v>20</v>
      </c>
      <c r="H80" s="8">
        <v>10</v>
      </c>
      <c r="I80" s="7">
        <v>7</v>
      </c>
      <c r="J80" s="7">
        <v>4</v>
      </c>
      <c r="K80" s="7">
        <v>6</v>
      </c>
      <c r="L80" s="7">
        <v>3</v>
      </c>
      <c r="M80" s="7">
        <v>3</v>
      </c>
    </row>
    <row r="81" spans="1:13">
      <c r="A81" s="102" t="s">
        <v>196</v>
      </c>
      <c r="B81" s="6">
        <v>13</v>
      </c>
      <c r="C81" s="12" t="s">
        <v>12</v>
      </c>
      <c r="D81" s="7">
        <v>6</v>
      </c>
      <c r="E81" s="7">
        <v>32</v>
      </c>
      <c r="F81" s="7">
        <v>66</v>
      </c>
      <c r="G81" s="8">
        <v>103</v>
      </c>
      <c r="H81" s="8">
        <v>91</v>
      </c>
      <c r="I81" s="7">
        <v>79</v>
      </c>
      <c r="J81" s="7">
        <v>85</v>
      </c>
      <c r="K81" s="7">
        <v>96</v>
      </c>
      <c r="L81" s="7">
        <v>119</v>
      </c>
      <c r="M81" s="7">
        <v>165</v>
      </c>
    </row>
    <row r="82" spans="1:13">
      <c r="A82" s="113" t="s">
        <v>197</v>
      </c>
      <c r="B82" s="6">
        <v>14</v>
      </c>
      <c r="C82" s="12" t="s">
        <v>12</v>
      </c>
      <c r="D82" s="7">
        <v>49</v>
      </c>
      <c r="E82" s="7">
        <v>75</v>
      </c>
      <c r="F82" s="7">
        <v>67</v>
      </c>
      <c r="G82" s="8">
        <v>91</v>
      </c>
      <c r="H82" s="8">
        <v>78</v>
      </c>
      <c r="I82" s="7">
        <v>152</v>
      </c>
      <c r="J82" s="7">
        <v>183</v>
      </c>
      <c r="K82" s="7">
        <v>188</v>
      </c>
      <c r="L82" s="7">
        <v>166</v>
      </c>
      <c r="M82" s="7">
        <v>189</v>
      </c>
    </row>
    <row r="83" spans="1:13">
      <c r="A83" s="102" t="s">
        <v>198</v>
      </c>
      <c r="B83" s="6">
        <v>15</v>
      </c>
      <c r="C83" s="12" t="s">
        <v>12</v>
      </c>
      <c r="D83" s="7">
        <v>92</v>
      </c>
      <c r="E83" s="69">
        <v>114</v>
      </c>
      <c r="F83" s="7">
        <v>77</v>
      </c>
      <c r="G83" s="8">
        <v>95</v>
      </c>
      <c r="H83" s="8">
        <v>80</v>
      </c>
      <c r="I83" s="7">
        <v>76</v>
      </c>
      <c r="J83" s="7">
        <v>100</v>
      </c>
      <c r="K83" s="7">
        <v>75</v>
      </c>
      <c r="L83" s="7">
        <v>98</v>
      </c>
      <c r="M83" s="7">
        <v>86</v>
      </c>
    </row>
    <row r="84" spans="1:13">
      <c r="A84" s="113" t="s">
        <v>199</v>
      </c>
      <c r="B84" s="6">
        <v>16</v>
      </c>
      <c r="C84" s="12" t="s">
        <v>12</v>
      </c>
      <c r="D84" s="7">
        <v>53</v>
      </c>
      <c r="E84" s="7">
        <v>68</v>
      </c>
      <c r="F84" s="7">
        <v>71</v>
      </c>
      <c r="G84" s="8">
        <v>74</v>
      </c>
      <c r="H84" s="8">
        <v>57</v>
      </c>
      <c r="I84" s="7">
        <v>56</v>
      </c>
      <c r="J84" s="7">
        <v>60</v>
      </c>
      <c r="K84" s="7">
        <v>42</v>
      </c>
      <c r="L84" s="7">
        <v>52</v>
      </c>
      <c r="M84" s="7">
        <v>59</v>
      </c>
    </row>
    <row r="87" spans="1:13">
      <c r="A87" s="10"/>
      <c r="B87" s="10"/>
      <c r="C87" s="10" t="s">
        <v>208</v>
      </c>
      <c r="D87" s="58" t="s">
        <v>209</v>
      </c>
      <c r="E87" s="58" t="s">
        <v>209</v>
      </c>
      <c r="F87" s="58" t="s">
        <v>209</v>
      </c>
      <c r="G87" s="58" t="s">
        <v>209</v>
      </c>
      <c r="H87" s="58" t="s">
        <v>209</v>
      </c>
      <c r="I87" s="58" t="s">
        <v>209</v>
      </c>
      <c r="J87" s="58" t="s">
        <v>209</v>
      </c>
      <c r="K87" s="58" t="s">
        <v>209</v>
      </c>
      <c r="L87" s="58" t="s">
        <v>209</v>
      </c>
      <c r="M87" s="58" t="s">
        <v>209</v>
      </c>
    </row>
    <row r="88" spans="1:13">
      <c r="A88" s="10" t="s">
        <v>281</v>
      </c>
      <c r="B88" s="10"/>
      <c r="C88" s="10"/>
      <c r="D88" s="5" t="s">
        <v>211</v>
      </c>
      <c r="E88" s="5" t="s">
        <v>212</v>
      </c>
      <c r="F88" s="5" t="s">
        <v>213</v>
      </c>
      <c r="G88" s="5" t="s">
        <v>214</v>
      </c>
      <c r="H88" s="5" t="s">
        <v>215</v>
      </c>
      <c r="I88" s="5" t="s">
        <v>217</v>
      </c>
      <c r="J88" s="5" t="s">
        <v>218</v>
      </c>
      <c r="K88" s="5" t="s">
        <v>219</v>
      </c>
      <c r="L88" s="5" t="s">
        <v>220</v>
      </c>
      <c r="M88" s="5" t="s">
        <v>221</v>
      </c>
    </row>
    <row r="89" spans="1:13">
      <c r="A89" s="10" t="s">
        <v>222</v>
      </c>
      <c r="B89" s="10" t="s">
        <v>223</v>
      </c>
      <c r="C89" s="10" t="s">
        <v>8</v>
      </c>
      <c r="D89" s="2">
        <v>44355</v>
      </c>
      <c r="E89" s="2">
        <v>44356</v>
      </c>
      <c r="F89" s="2">
        <v>44357</v>
      </c>
      <c r="G89" s="2">
        <v>44358</v>
      </c>
      <c r="H89" s="2">
        <v>44359</v>
      </c>
      <c r="I89" s="2">
        <v>44360</v>
      </c>
      <c r="J89" s="2">
        <v>44361</v>
      </c>
      <c r="K89" s="2">
        <v>44362</v>
      </c>
      <c r="L89" s="2">
        <v>44363</v>
      </c>
      <c r="M89" s="2">
        <v>44364</v>
      </c>
    </row>
    <row r="90" spans="1:13">
      <c r="A90" s="102" t="s">
        <v>167</v>
      </c>
      <c r="B90" s="6">
        <v>1</v>
      </c>
      <c r="C90" s="12" t="s">
        <v>12</v>
      </c>
      <c r="D90" s="7">
        <v>12</v>
      </c>
      <c r="E90" s="7">
        <v>25</v>
      </c>
      <c r="F90" s="7">
        <v>77</v>
      </c>
      <c r="G90" s="8">
        <v>13</v>
      </c>
      <c r="H90" s="8">
        <v>9</v>
      </c>
      <c r="I90" s="7">
        <v>2</v>
      </c>
      <c r="J90" s="7">
        <v>30</v>
      </c>
      <c r="K90" s="7">
        <v>21</v>
      </c>
      <c r="L90" s="7">
        <v>4</v>
      </c>
      <c r="M90" s="7">
        <v>15</v>
      </c>
    </row>
    <row r="91" spans="1:13">
      <c r="A91" s="113" t="s">
        <v>170</v>
      </c>
      <c r="B91" s="6">
        <v>2</v>
      </c>
      <c r="C91" s="12" t="s">
        <v>12</v>
      </c>
      <c r="D91" s="7">
        <v>4</v>
      </c>
      <c r="E91" s="7">
        <v>10</v>
      </c>
      <c r="F91" s="7">
        <v>15</v>
      </c>
      <c r="G91" s="8">
        <v>1</v>
      </c>
      <c r="H91" s="8">
        <v>4</v>
      </c>
      <c r="I91" s="7">
        <v>12</v>
      </c>
      <c r="J91" s="7">
        <v>6</v>
      </c>
      <c r="K91" s="7">
        <v>6</v>
      </c>
      <c r="L91" s="7">
        <v>10</v>
      </c>
      <c r="M91" s="7">
        <v>11</v>
      </c>
    </row>
    <row r="92" spans="1:13">
      <c r="A92" s="102" t="s">
        <v>173</v>
      </c>
      <c r="B92" s="6">
        <v>3</v>
      </c>
      <c r="C92" s="12" t="s">
        <v>224</v>
      </c>
      <c r="D92" s="7">
        <v>2</v>
      </c>
      <c r="E92" s="7">
        <v>8</v>
      </c>
      <c r="F92" s="7">
        <v>7</v>
      </c>
      <c r="G92" s="8">
        <v>8</v>
      </c>
      <c r="H92" s="8">
        <v>30</v>
      </c>
      <c r="I92" s="7">
        <v>12</v>
      </c>
      <c r="J92" s="7">
        <v>11</v>
      </c>
      <c r="K92" s="7">
        <v>59</v>
      </c>
      <c r="L92" s="7">
        <v>7</v>
      </c>
      <c r="M92" s="7">
        <v>1</v>
      </c>
    </row>
    <row r="93" spans="1:13">
      <c r="A93" s="113" t="s">
        <v>175</v>
      </c>
      <c r="B93" s="6">
        <v>4</v>
      </c>
      <c r="C93" s="12" t="s">
        <v>224</v>
      </c>
      <c r="D93" s="7">
        <v>13</v>
      </c>
      <c r="E93" s="7">
        <v>23</v>
      </c>
      <c r="F93" s="7">
        <v>3</v>
      </c>
      <c r="G93" s="8">
        <v>10</v>
      </c>
      <c r="H93" s="8">
        <v>8</v>
      </c>
      <c r="I93" s="7">
        <v>10</v>
      </c>
      <c r="J93" s="7">
        <v>7</v>
      </c>
      <c r="K93" s="7">
        <v>6</v>
      </c>
      <c r="L93" s="7">
        <v>1</v>
      </c>
      <c r="M93" s="7">
        <v>1</v>
      </c>
    </row>
    <row r="94" spans="1:13">
      <c r="A94" s="102" t="s">
        <v>178</v>
      </c>
      <c r="B94" s="6">
        <v>5</v>
      </c>
      <c r="C94" s="12" t="s">
        <v>224</v>
      </c>
      <c r="D94" s="7">
        <v>100</v>
      </c>
      <c r="E94" s="7">
        <v>76</v>
      </c>
      <c r="F94" s="7">
        <v>23</v>
      </c>
      <c r="G94" s="42">
        <v>43</v>
      </c>
      <c r="H94" s="8">
        <v>27</v>
      </c>
      <c r="I94" s="7">
        <v>7</v>
      </c>
      <c r="J94" s="7">
        <v>20</v>
      </c>
      <c r="K94" s="7">
        <v>20</v>
      </c>
      <c r="L94" s="7">
        <v>22</v>
      </c>
      <c r="M94" s="7">
        <v>52</v>
      </c>
    </row>
    <row r="95" spans="1:13">
      <c r="A95" s="102" t="s">
        <v>181</v>
      </c>
      <c r="B95" s="6">
        <v>6</v>
      </c>
      <c r="C95" s="12" t="s">
        <v>12</v>
      </c>
      <c r="D95" s="7">
        <v>23</v>
      </c>
      <c r="E95" s="7">
        <v>21</v>
      </c>
      <c r="F95" s="7">
        <v>10</v>
      </c>
      <c r="G95" s="7">
        <v>13</v>
      </c>
      <c r="H95" s="8">
        <v>5</v>
      </c>
      <c r="I95" s="79">
        <v>6</v>
      </c>
      <c r="J95" s="79">
        <v>14</v>
      </c>
      <c r="K95" s="7">
        <v>13</v>
      </c>
      <c r="L95" s="7">
        <v>3</v>
      </c>
      <c r="M95" s="7">
        <v>0</v>
      </c>
    </row>
    <row r="96" spans="1:13">
      <c r="A96" s="113" t="s">
        <v>183</v>
      </c>
      <c r="B96" s="6">
        <v>7</v>
      </c>
      <c r="C96" s="12" t="s">
        <v>12</v>
      </c>
      <c r="D96" s="7">
        <v>5</v>
      </c>
      <c r="E96" s="7">
        <v>17</v>
      </c>
      <c r="F96" s="7">
        <v>1</v>
      </c>
      <c r="G96" s="8">
        <v>0</v>
      </c>
      <c r="H96" s="8">
        <v>0</v>
      </c>
      <c r="I96" s="7">
        <v>0</v>
      </c>
      <c r="J96" s="7">
        <v>3</v>
      </c>
      <c r="K96" s="10">
        <v>7</v>
      </c>
      <c r="L96" s="7">
        <v>3</v>
      </c>
      <c r="M96" s="7">
        <v>2</v>
      </c>
    </row>
    <row r="97" spans="1:13">
      <c r="A97" s="102" t="s">
        <v>186</v>
      </c>
      <c r="B97" s="6">
        <v>8</v>
      </c>
      <c r="C97" s="12" t="s">
        <v>12</v>
      </c>
      <c r="D97" s="7">
        <v>23</v>
      </c>
      <c r="E97" s="7">
        <v>11</v>
      </c>
      <c r="F97" s="7">
        <v>24</v>
      </c>
      <c r="G97" s="8">
        <v>9</v>
      </c>
      <c r="H97" s="8">
        <v>24</v>
      </c>
      <c r="I97" s="80">
        <v>2</v>
      </c>
      <c r="J97" s="80">
        <v>5</v>
      </c>
      <c r="K97" s="42">
        <v>3</v>
      </c>
      <c r="L97" s="7">
        <v>1</v>
      </c>
      <c r="M97" s="7">
        <v>4</v>
      </c>
    </row>
    <row r="98" spans="1:13">
      <c r="A98" s="102" t="s">
        <v>189</v>
      </c>
      <c r="B98" s="6">
        <v>9</v>
      </c>
      <c r="C98" s="12" t="s">
        <v>12</v>
      </c>
      <c r="D98" s="7">
        <v>46</v>
      </c>
      <c r="E98" s="7">
        <v>24</v>
      </c>
      <c r="F98" s="7">
        <v>26</v>
      </c>
      <c r="G98" s="8">
        <v>3</v>
      </c>
      <c r="H98" s="8">
        <v>17</v>
      </c>
      <c r="I98" s="7">
        <v>1</v>
      </c>
      <c r="J98" s="7">
        <v>30</v>
      </c>
      <c r="K98" s="7">
        <v>11</v>
      </c>
      <c r="L98" s="7">
        <v>20</v>
      </c>
      <c r="M98" s="7">
        <v>60</v>
      </c>
    </row>
    <row r="99" spans="1:13">
      <c r="A99" s="102" t="s">
        <v>192</v>
      </c>
      <c r="B99" s="6">
        <v>10</v>
      </c>
      <c r="C99" s="12" t="s">
        <v>12</v>
      </c>
      <c r="D99" s="7">
        <v>36</v>
      </c>
      <c r="E99" s="7">
        <v>25</v>
      </c>
      <c r="F99" s="7">
        <v>13</v>
      </c>
      <c r="G99" s="138">
        <v>3</v>
      </c>
      <c r="H99" s="8">
        <v>19</v>
      </c>
      <c r="I99" s="7">
        <v>6</v>
      </c>
      <c r="J99" s="7">
        <v>13</v>
      </c>
      <c r="K99" s="7">
        <v>10</v>
      </c>
      <c r="L99" s="7">
        <v>15</v>
      </c>
      <c r="M99" s="7">
        <v>28</v>
      </c>
    </row>
    <row r="100" spans="1:13">
      <c r="A100" s="102" t="s">
        <v>194</v>
      </c>
      <c r="B100" s="6">
        <v>11</v>
      </c>
      <c r="C100" s="12" t="s">
        <v>224</v>
      </c>
      <c r="D100" s="7">
        <v>14</v>
      </c>
      <c r="E100" s="42">
        <v>21</v>
      </c>
      <c r="F100" s="42">
        <v>13</v>
      </c>
      <c r="G100" s="7">
        <v>15</v>
      </c>
      <c r="H100" s="42">
        <v>19</v>
      </c>
      <c r="I100" s="139">
        <v>13</v>
      </c>
      <c r="J100" s="81">
        <v>5</v>
      </c>
      <c r="K100" s="42">
        <v>13</v>
      </c>
      <c r="L100" s="7">
        <v>8</v>
      </c>
      <c r="M100" s="7">
        <v>12</v>
      </c>
    </row>
    <row r="101" spans="1:13">
      <c r="A101" s="102" t="s">
        <v>195</v>
      </c>
      <c r="B101" s="6">
        <v>12</v>
      </c>
      <c r="C101" s="12" t="s">
        <v>224</v>
      </c>
      <c r="D101" s="7">
        <v>14</v>
      </c>
      <c r="E101" s="7">
        <v>0</v>
      </c>
      <c r="F101" s="7">
        <v>23</v>
      </c>
      <c r="G101" s="8">
        <v>9</v>
      </c>
      <c r="H101" s="8">
        <v>6</v>
      </c>
      <c r="I101" s="7">
        <v>2</v>
      </c>
      <c r="J101" s="7">
        <v>3</v>
      </c>
      <c r="K101" s="7">
        <v>2</v>
      </c>
      <c r="L101" s="7">
        <v>2</v>
      </c>
      <c r="M101" s="7">
        <v>1</v>
      </c>
    </row>
    <row r="102" spans="1:13">
      <c r="A102" s="102" t="s">
        <v>196</v>
      </c>
      <c r="B102" s="6">
        <v>13</v>
      </c>
      <c r="C102" s="12" t="s">
        <v>12</v>
      </c>
      <c r="D102" s="7">
        <v>19</v>
      </c>
      <c r="E102" s="7">
        <v>7</v>
      </c>
      <c r="F102" s="7">
        <v>5</v>
      </c>
      <c r="G102" s="8">
        <v>1</v>
      </c>
      <c r="H102" s="8">
        <v>1</v>
      </c>
      <c r="I102" s="7">
        <v>2</v>
      </c>
      <c r="J102" s="7">
        <v>1</v>
      </c>
      <c r="K102" s="7">
        <v>2</v>
      </c>
      <c r="L102" s="7">
        <v>13</v>
      </c>
      <c r="M102" s="7">
        <v>76</v>
      </c>
    </row>
    <row r="103" spans="1:13">
      <c r="A103" s="113" t="s">
        <v>197</v>
      </c>
      <c r="B103" s="6">
        <v>14</v>
      </c>
      <c r="C103" s="12" t="s">
        <v>12</v>
      </c>
      <c r="D103" s="7">
        <v>9</v>
      </c>
      <c r="E103" s="7">
        <v>16</v>
      </c>
      <c r="F103" s="7">
        <v>10</v>
      </c>
      <c r="G103" s="8">
        <v>5</v>
      </c>
      <c r="H103" s="8">
        <v>14</v>
      </c>
      <c r="I103" s="7">
        <v>3</v>
      </c>
      <c r="J103" s="7">
        <v>3</v>
      </c>
      <c r="K103" s="7">
        <v>4</v>
      </c>
      <c r="L103" s="7">
        <v>15</v>
      </c>
      <c r="M103" s="7">
        <v>10</v>
      </c>
    </row>
    <row r="104" spans="1:13">
      <c r="A104" s="102" t="s">
        <v>198</v>
      </c>
      <c r="B104" s="6">
        <v>15</v>
      </c>
      <c r="C104" s="12" t="s">
        <v>12</v>
      </c>
      <c r="D104" s="7">
        <v>9</v>
      </c>
      <c r="E104" s="69">
        <v>38</v>
      </c>
      <c r="F104" s="7">
        <v>33</v>
      </c>
      <c r="G104" s="8">
        <v>27</v>
      </c>
      <c r="H104" s="8">
        <v>18</v>
      </c>
      <c r="I104" s="7">
        <v>9</v>
      </c>
      <c r="J104" s="7">
        <v>13</v>
      </c>
      <c r="K104" s="7">
        <v>10</v>
      </c>
      <c r="L104" s="7">
        <v>1</v>
      </c>
      <c r="M104" s="7">
        <v>19</v>
      </c>
    </row>
    <row r="105" spans="1:13">
      <c r="A105" s="113" t="s">
        <v>199</v>
      </c>
      <c r="B105" s="6">
        <v>16</v>
      </c>
      <c r="C105" s="12" t="s">
        <v>12</v>
      </c>
      <c r="D105" s="7">
        <v>6</v>
      </c>
      <c r="E105" s="7">
        <v>34</v>
      </c>
      <c r="F105" s="7">
        <v>1</v>
      </c>
      <c r="G105" s="8">
        <v>5</v>
      </c>
      <c r="H105" s="8">
        <v>3</v>
      </c>
      <c r="I105" s="7">
        <v>1</v>
      </c>
      <c r="J105" s="7">
        <v>17</v>
      </c>
      <c r="K105" s="7">
        <v>8</v>
      </c>
      <c r="L105" s="7">
        <v>28</v>
      </c>
      <c r="M105" s="7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3CD7-0422-4C46-9159-52C7A31C0F2C}">
  <dimension ref="A1:AZ41"/>
  <sheetViews>
    <sheetView topLeftCell="A4" workbookViewId="0">
      <selection activeCell="A25" sqref="A25"/>
    </sheetView>
  </sheetViews>
  <sheetFormatPr defaultRowHeight="14.45"/>
  <cols>
    <col min="1" max="1" width="12.28515625" bestFit="1" customWidth="1"/>
    <col min="2" max="2" width="20.140625" bestFit="1" customWidth="1"/>
    <col min="4" max="5" width="8.85546875" bestFit="1" customWidth="1"/>
    <col min="6" max="13" width="9.85546875" bestFit="1" customWidth="1"/>
    <col min="14" max="14" width="13" bestFit="1" customWidth="1"/>
    <col min="15" max="15" width="9" bestFit="1" customWidth="1"/>
    <col min="16" max="16" width="11.42578125" bestFit="1" customWidth="1"/>
    <col min="22" max="23" width="8.85546875" bestFit="1" customWidth="1"/>
    <col min="24" max="31" width="9.85546875" bestFit="1" customWidth="1"/>
    <col min="32" max="32" width="13" bestFit="1" customWidth="1"/>
    <col min="33" max="33" width="9" bestFit="1" customWidth="1"/>
    <col min="34" max="34" width="11.42578125" bestFit="1" customWidth="1"/>
    <col min="40" max="41" width="8.85546875" bestFit="1" customWidth="1"/>
    <col min="42" max="49" width="9.85546875" bestFit="1" customWidth="1"/>
    <col min="50" max="50" width="13" bestFit="1" customWidth="1"/>
    <col min="51" max="51" width="9" bestFit="1" customWidth="1"/>
    <col min="52" max="52" width="11.42578125" bestFit="1" customWidth="1"/>
  </cols>
  <sheetData>
    <row r="1" spans="1:52">
      <c r="A1" t="s">
        <v>9</v>
      </c>
      <c r="S1" t="s">
        <v>9</v>
      </c>
    </row>
    <row r="2" spans="1:52">
      <c r="A2" t="s">
        <v>168</v>
      </c>
      <c r="B2" t="s">
        <v>169</v>
      </c>
      <c r="S2" t="s">
        <v>168</v>
      </c>
      <c r="T2" t="s">
        <v>169</v>
      </c>
    </row>
    <row r="3" spans="1:52">
      <c r="A3" t="s">
        <v>171</v>
      </c>
      <c r="B3" t="s">
        <v>172</v>
      </c>
      <c r="S3" t="s">
        <v>171</v>
      </c>
      <c r="T3" t="s">
        <v>172</v>
      </c>
    </row>
    <row r="4" spans="1:52">
      <c r="A4" t="s">
        <v>174</v>
      </c>
      <c r="B4" t="s">
        <v>83</v>
      </c>
      <c r="S4" t="s">
        <v>174</v>
      </c>
      <c r="T4" t="s">
        <v>83</v>
      </c>
    </row>
    <row r="5" spans="1:52">
      <c r="A5" t="s">
        <v>176</v>
      </c>
      <c r="B5" t="s">
        <v>177</v>
      </c>
      <c r="S5" t="s">
        <v>176</v>
      </c>
      <c r="T5" t="s">
        <v>177</v>
      </c>
    </row>
    <row r="6" spans="1:52">
      <c r="A6" t="s">
        <v>179</v>
      </c>
      <c r="B6" t="s">
        <v>180</v>
      </c>
      <c r="S6" t="s">
        <v>179</v>
      </c>
      <c r="T6" t="s">
        <v>180</v>
      </c>
    </row>
    <row r="7" spans="1:52">
      <c r="A7" t="s">
        <v>182</v>
      </c>
      <c r="B7" t="s">
        <v>83</v>
      </c>
      <c r="S7" t="s">
        <v>182</v>
      </c>
      <c r="T7" t="s">
        <v>83</v>
      </c>
    </row>
    <row r="8" spans="1:52">
      <c r="A8" t="s">
        <v>184</v>
      </c>
      <c r="B8" t="s">
        <v>185</v>
      </c>
      <c r="N8" t="s">
        <v>282</v>
      </c>
      <c r="O8" t="s">
        <v>283</v>
      </c>
      <c r="P8" t="s">
        <v>284</v>
      </c>
      <c r="S8" t="s">
        <v>184</v>
      </c>
      <c r="T8" t="s">
        <v>185</v>
      </c>
      <c r="AG8" t="s">
        <v>282</v>
      </c>
      <c r="AH8" t="s">
        <v>283</v>
      </c>
      <c r="AI8" t="s">
        <v>284</v>
      </c>
    </row>
    <row r="9" spans="1:52">
      <c r="A9" t="s">
        <v>187</v>
      </c>
      <c r="B9" t="s">
        <v>188</v>
      </c>
      <c r="M9" t="s">
        <v>285</v>
      </c>
      <c r="N9">
        <f>AVERAGE(N31:N32)</f>
        <v>54.833333333333329</v>
      </c>
      <c r="O9" s="48">
        <v>45.8</v>
      </c>
      <c r="P9">
        <f>AVERAGE(N9:O9)</f>
        <v>50.316666666666663</v>
      </c>
      <c r="S9" t="s">
        <v>187</v>
      </c>
      <c r="T9" t="s">
        <v>188</v>
      </c>
      <c r="AF9" t="s">
        <v>13</v>
      </c>
      <c r="AG9">
        <f>AVERAGE(AF31:AF32)</f>
        <v>100.16666666666667</v>
      </c>
      <c r="AH9" s="48">
        <v>92</v>
      </c>
      <c r="AI9">
        <f>AVERAGE(AG9:AH9)</f>
        <v>96.083333333333343</v>
      </c>
    </row>
    <row r="10" spans="1:52">
      <c r="A10" t="s">
        <v>190</v>
      </c>
      <c r="B10" t="s">
        <v>191</v>
      </c>
      <c r="M10">
        <v>1</v>
      </c>
      <c r="N10">
        <f>AVERAGE(N16:N20)</f>
        <v>42.800000000000004</v>
      </c>
      <c r="O10" s="48">
        <v>50.732999999999997</v>
      </c>
      <c r="P10">
        <f t="shared" ref="P10:P11" si="0">AVERAGE(N10:O10)</f>
        <v>46.766500000000001</v>
      </c>
      <c r="S10" t="s">
        <v>190</v>
      </c>
      <c r="T10" t="s">
        <v>191</v>
      </c>
      <c r="AF10">
        <v>1</v>
      </c>
      <c r="AG10">
        <f>AVERAGE(AF16:AF20)</f>
        <v>87.733333333333334</v>
      </c>
      <c r="AH10" s="48">
        <v>106</v>
      </c>
      <c r="AI10">
        <f t="shared" ref="AI10:AI11" si="1">AVERAGE(AG10:AH10)</f>
        <v>96.866666666666674</v>
      </c>
    </row>
    <row r="11" spans="1:52">
      <c r="A11" t="s">
        <v>193</v>
      </c>
      <c r="B11" t="s">
        <v>83</v>
      </c>
      <c r="M11">
        <v>30</v>
      </c>
      <c r="N11">
        <f>AVERAGE(N24:N27)</f>
        <v>45.916666666666671</v>
      </c>
      <c r="O11" s="48">
        <v>49.165999999999997</v>
      </c>
      <c r="P11">
        <f t="shared" si="0"/>
        <v>47.541333333333334</v>
      </c>
      <c r="S11" t="s">
        <v>193</v>
      </c>
      <c r="T11" t="s">
        <v>83</v>
      </c>
      <c r="AF11">
        <v>30</v>
      </c>
      <c r="AG11">
        <f>AVERAGE(AF24:AF27)</f>
        <v>100.41666666666667</v>
      </c>
      <c r="AH11" s="48">
        <v>125.55</v>
      </c>
      <c r="AI11">
        <f t="shared" si="1"/>
        <v>112.98333333333333</v>
      </c>
    </row>
    <row r="14" spans="1:52">
      <c r="A14" s="10" t="s">
        <v>226</v>
      </c>
      <c r="B14" s="10"/>
      <c r="C14" s="10"/>
      <c r="D14" s="5" t="s">
        <v>211</v>
      </c>
      <c r="E14" s="5" t="s">
        <v>212</v>
      </c>
      <c r="F14" s="5" t="s">
        <v>213</v>
      </c>
      <c r="G14" s="5" t="s">
        <v>214</v>
      </c>
      <c r="H14" s="5" t="s">
        <v>215</v>
      </c>
      <c r="I14" s="5" t="s">
        <v>217</v>
      </c>
      <c r="J14" s="5" t="s">
        <v>218</v>
      </c>
      <c r="K14" s="5" t="s">
        <v>219</v>
      </c>
      <c r="L14" s="5" t="s">
        <v>220</v>
      </c>
      <c r="M14" s="5" t="s">
        <v>221</v>
      </c>
      <c r="S14" s="10" t="s">
        <v>280</v>
      </c>
      <c r="T14" s="10"/>
      <c r="U14" s="10"/>
      <c r="V14" s="5" t="s">
        <v>211</v>
      </c>
      <c r="W14" s="5" t="s">
        <v>212</v>
      </c>
      <c r="X14" s="5" t="s">
        <v>213</v>
      </c>
      <c r="Y14" s="5" t="s">
        <v>214</v>
      </c>
      <c r="Z14" s="5" t="s">
        <v>215</v>
      </c>
      <c r="AA14" s="5" t="s">
        <v>217</v>
      </c>
      <c r="AB14" s="5" t="s">
        <v>218</v>
      </c>
      <c r="AC14" s="5" t="s">
        <v>219</v>
      </c>
      <c r="AD14" s="5" t="s">
        <v>220</v>
      </c>
      <c r="AE14" s="5" t="s">
        <v>221</v>
      </c>
      <c r="AK14" s="10" t="s">
        <v>281</v>
      </c>
      <c r="AL14" s="10"/>
      <c r="AM14" s="10"/>
      <c r="AN14" s="5" t="s">
        <v>211</v>
      </c>
      <c r="AO14" s="5" t="s">
        <v>212</v>
      </c>
      <c r="AP14" s="5" t="s">
        <v>213</v>
      </c>
      <c r="AQ14" s="5" t="s">
        <v>214</v>
      </c>
      <c r="AR14" s="5" t="s">
        <v>215</v>
      </c>
      <c r="AS14" s="5" t="s">
        <v>217</v>
      </c>
      <c r="AT14" s="5" t="s">
        <v>218</v>
      </c>
      <c r="AU14" s="5" t="s">
        <v>219</v>
      </c>
      <c r="AV14" s="5" t="s">
        <v>220</v>
      </c>
      <c r="AW14" s="5" t="s">
        <v>221</v>
      </c>
    </row>
    <row r="15" spans="1:52">
      <c r="A15" s="10" t="s">
        <v>222</v>
      </c>
      <c r="B15" s="10" t="s">
        <v>223</v>
      </c>
      <c r="C15" s="10" t="s">
        <v>8</v>
      </c>
      <c r="D15" s="2">
        <v>44355</v>
      </c>
      <c r="E15" s="2">
        <v>44356</v>
      </c>
      <c r="F15" s="2">
        <v>44357</v>
      </c>
      <c r="G15" s="2">
        <v>44358</v>
      </c>
      <c r="H15" s="2">
        <v>44359</v>
      </c>
      <c r="I15" s="2">
        <v>44360</v>
      </c>
      <c r="J15" s="2">
        <v>44361</v>
      </c>
      <c r="K15" s="2">
        <v>44362</v>
      </c>
      <c r="L15" s="2">
        <v>44363</v>
      </c>
      <c r="M15" s="2">
        <v>44364</v>
      </c>
      <c r="N15" s="48" t="s">
        <v>230</v>
      </c>
      <c r="O15" s="48" t="s">
        <v>231</v>
      </c>
      <c r="P15" t="s">
        <v>232</v>
      </c>
      <c r="S15" s="10" t="s">
        <v>222</v>
      </c>
      <c r="T15" s="10" t="s">
        <v>223</v>
      </c>
      <c r="U15" s="10" t="s">
        <v>8</v>
      </c>
      <c r="V15" s="2">
        <v>44355</v>
      </c>
      <c r="W15" s="2">
        <v>44356</v>
      </c>
      <c r="X15" s="2">
        <v>44357</v>
      </c>
      <c r="Y15" s="2">
        <v>44358</v>
      </c>
      <c r="Z15" s="2">
        <v>44359</v>
      </c>
      <c r="AA15" s="2">
        <v>44360</v>
      </c>
      <c r="AB15" s="2">
        <v>44361</v>
      </c>
      <c r="AC15" s="2">
        <v>44362</v>
      </c>
      <c r="AD15" s="2">
        <v>44363</v>
      </c>
      <c r="AE15" s="2">
        <v>44364</v>
      </c>
      <c r="AF15" s="48" t="s">
        <v>230</v>
      </c>
      <c r="AG15" s="48" t="s">
        <v>231</v>
      </c>
      <c r="AH15" t="s">
        <v>232</v>
      </c>
      <c r="AK15" s="10" t="s">
        <v>222</v>
      </c>
      <c r="AL15" s="10" t="s">
        <v>223</v>
      </c>
      <c r="AM15" s="10" t="s">
        <v>8</v>
      </c>
      <c r="AN15" s="2">
        <v>44355</v>
      </c>
      <c r="AO15" s="2">
        <v>44356</v>
      </c>
      <c r="AP15" s="2">
        <v>44357</v>
      </c>
      <c r="AQ15" s="2">
        <v>44358</v>
      </c>
      <c r="AR15" s="2">
        <v>44359</v>
      </c>
      <c r="AS15" s="2">
        <v>44360</v>
      </c>
      <c r="AT15" s="2">
        <v>44361</v>
      </c>
      <c r="AU15" s="2">
        <v>44362</v>
      </c>
      <c r="AV15" s="2">
        <v>44363</v>
      </c>
      <c r="AW15" s="2">
        <v>44364</v>
      </c>
      <c r="AX15" s="48" t="s">
        <v>230</v>
      </c>
      <c r="AY15" s="48" t="s">
        <v>231</v>
      </c>
      <c r="AZ15" t="s">
        <v>232</v>
      </c>
    </row>
    <row r="16" spans="1:52">
      <c r="A16" s="102" t="s">
        <v>167</v>
      </c>
      <c r="B16" s="6">
        <v>1</v>
      </c>
      <c r="C16" s="12" t="s">
        <v>12</v>
      </c>
      <c r="D16" s="7">
        <v>27</v>
      </c>
      <c r="E16" s="7">
        <v>52</v>
      </c>
      <c r="F16" s="7">
        <v>31</v>
      </c>
      <c r="G16" s="8">
        <v>41</v>
      </c>
      <c r="H16" s="8">
        <v>33</v>
      </c>
      <c r="I16" s="7">
        <v>39</v>
      </c>
      <c r="J16" s="7">
        <v>22</v>
      </c>
      <c r="K16" s="7">
        <v>24</v>
      </c>
      <c r="L16" s="7">
        <v>21</v>
      </c>
      <c r="M16" s="7">
        <v>57</v>
      </c>
      <c r="N16">
        <f>AVERAGE(K16:M16)</f>
        <v>34</v>
      </c>
      <c r="O16">
        <f>AVERAGE(D16:M16)</f>
        <v>34.700000000000003</v>
      </c>
      <c r="P16">
        <v>1</v>
      </c>
      <c r="S16" s="102" t="s">
        <v>167</v>
      </c>
      <c r="T16" s="6">
        <v>1</v>
      </c>
      <c r="U16" s="12" t="s">
        <v>12</v>
      </c>
      <c r="V16" s="7">
        <v>65</v>
      </c>
      <c r="W16" s="7">
        <v>236</v>
      </c>
      <c r="X16" s="7">
        <v>126</v>
      </c>
      <c r="Y16" s="8">
        <v>117</v>
      </c>
      <c r="Z16" s="8">
        <v>91</v>
      </c>
      <c r="AA16" s="7">
        <v>62</v>
      </c>
      <c r="AB16" s="7">
        <v>41</v>
      </c>
      <c r="AC16" s="7">
        <v>62</v>
      </c>
      <c r="AD16" s="7">
        <v>38</v>
      </c>
      <c r="AE16" s="7">
        <v>139</v>
      </c>
      <c r="AF16">
        <f>AVERAGE(AC16:AE16)</f>
        <v>79.666666666666671</v>
      </c>
      <c r="AG16">
        <f>AVERAGE(V16:AE16)</f>
        <v>97.7</v>
      </c>
      <c r="AH16">
        <v>1</v>
      </c>
      <c r="AK16" s="102" t="s">
        <v>167</v>
      </c>
      <c r="AL16" s="6">
        <v>1</v>
      </c>
      <c r="AM16" s="12" t="s">
        <v>12</v>
      </c>
      <c r="AN16" s="7">
        <v>12</v>
      </c>
      <c r="AO16" s="7">
        <v>25</v>
      </c>
      <c r="AP16" s="7">
        <v>77</v>
      </c>
      <c r="AQ16" s="8">
        <v>13</v>
      </c>
      <c r="AR16" s="8">
        <v>9</v>
      </c>
      <c r="AS16" s="7">
        <v>2</v>
      </c>
      <c r="AT16" s="7">
        <v>30</v>
      </c>
      <c r="AU16" s="7">
        <v>21</v>
      </c>
      <c r="AV16" s="7">
        <v>4</v>
      </c>
      <c r="AW16" s="7">
        <v>15</v>
      </c>
      <c r="AX16">
        <f>AVERAGE(AU16:AW16)</f>
        <v>13.333333333333334</v>
      </c>
      <c r="AY16">
        <f>AVERAGE(AN16:AW16)</f>
        <v>20.8</v>
      </c>
      <c r="AZ16">
        <v>1</v>
      </c>
    </row>
    <row r="17" spans="1:52">
      <c r="A17" s="113" t="s">
        <v>170</v>
      </c>
      <c r="B17" s="6">
        <v>2</v>
      </c>
      <c r="C17" s="12" t="s">
        <v>12</v>
      </c>
      <c r="D17" s="7">
        <v>30</v>
      </c>
      <c r="E17" s="7">
        <v>45</v>
      </c>
      <c r="F17" s="7">
        <v>25</v>
      </c>
      <c r="G17" s="8">
        <v>46</v>
      </c>
      <c r="H17" s="8">
        <v>22</v>
      </c>
      <c r="I17" s="7">
        <v>23</v>
      </c>
      <c r="J17" s="7">
        <v>21</v>
      </c>
      <c r="K17" s="7">
        <v>28</v>
      </c>
      <c r="L17" s="7">
        <v>24</v>
      </c>
      <c r="M17" s="7">
        <v>28</v>
      </c>
      <c r="N17">
        <f>AVERAGE(K17:M17)</f>
        <v>26.666666666666668</v>
      </c>
      <c r="O17">
        <f>AVERAGE(D17:M17)</f>
        <v>29.2</v>
      </c>
      <c r="P17">
        <v>1</v>
      </c>
      <c r="S17" s="113" t="s">
        <v>170</v>
      </c>
      <c r="T17" s="6">
        <v>2</v>
      </c>
      <c r="U17" s="12" t="s">
        <v>12</v>
      </c>
      <c r="V17" s="7">
        <v>65</v>
      </c>
      <c r="W17" s="7">
        <v>85</v>
      </c>
      <c r="X17" s="7">
        <v>44</v>
      </c>
      <c r="Y17" s="8">
        <v>63</v>
      </c>
      <c r="Z17" s="8">
        <v>38</v>
      </c>
      <c r="AA17" s="7">
        <v>31</v>
      </c>
      <c r="AB17" s="7">
        <v>27</v>
      </c>
      <c r="AC17" s="7">
        <v>47</v>
      </c>
      <c r="AD17" s="7">
        <v>31</v>
      </c>
      <c r="AE17" s="7">
        <v>44</v>
      </c>
      <c r="AF17">
        <f>AVERAGE(AC17:AE17)</f>
        <v>40.666666666666664</v>
      </c>
      <c r="AG17">
        <f>AVERAGE(V17:AE17)</f>
        <v>47.5</v>
      </c>
      <c r="AH17">
        <v>1</v>
      </c>
      <c r="AK17" s="113" t="s">
        <v>170</v>
      </c>
      <c r="AL17" s="6">
        <v>2</v>
      </c>
      <c r="AM17" s="12" t="s">
        <v>12</v>
      </c>
      <c r="AN17" s="7">
        <v>4</v>
      </c>
      <c r="AO17" s="7">
        <v>10</v>
      </c>
      <c r="AP17" s="7">
        <v>15</v>
      </c>
      <c r="AQ17" s="8">
        <v>1</v>
      </c>
      <c r="AR17" s="8">
        <v>4</v>
      </c>
      <c r="AS17" s="7">
        <v>12</v>
      </c>
      <c r="AT17" s="7">
        <v>6</v>
      </c>
      <c r="AU17" s="7">
        <v>6</v>
      </c>
      <c r="AV17" s="7">
        <v>10</v>
      </c>
      <c r="AW17" s="7">
        <v>11</v>
      </c>
      <c r="AX17">
        <f t="shared" ref="AX17" si="2">AVERAGE(AU17:AW17)</f>
        <v>9</v>
      </c>
      <c r="AY17">
        <f t="shared" ref="AY17" si="3">AVERAGE(AN17:AW17)</f>
        <v>7.9</v>
      </c>
      <c r="AZ17">
        <v>1</v>
      </c>
    </row>
    <row r="18" spans="1:52">
      <c r="A18" s="113" t="s">
        <v>197</v>
      </c>
      <c r="B18" s="6">
        <v>14</v>
      </c>
      <c r="C18" s="12" t="s">
        <v>12</v>
      </c>
      <c r="D18" s="7">
        <v>30</v>
      </c>
      <c r="E18" s="7">
        <v>39</v>
      </c>
      <c r="F18" s="7">
        <v>49</v>
      </c>
      <c r="G18" s="7">
        <v>64</v>
      </c>
      <c r="H18" s="8">
        <v>47</v>
      </c>
      <c r="I18" s="79">
        <v>61</v>
      </c>
      <c r="J18" s="79">
        <v>68</v>
      </c>
      <c r="K18" s="7">
        <v>75</v>
      </c>
      <c r="L18" s="7">
        <v>75</v>
      </c>
      <c r="M18" s="7">
        <v>75</v>
      </c>
      <c r="N18">
        <f>AVERAGE(K18:M18)</f>
        <v>75</v>
      </c>
      <c r="O18">
        <f>AVERAGE(D18:M18)</f>
        <v>58.3</v>
      </c>
      <c r="P18">
        <v>1</v>
      </c>
      <c r="S18" s="113" t="s">
        <v>197</v>
      </c>
      <c r="T18" s="6">
        <v>14</v>
      </c>
      <c r="U18" s="12" t="s">
        <v>12</v>
      </c>
      <c r="V18" s="7">
        <v>49</v>
      </c>
      <c r="W18" s="7">
        <v>75</v>
      </c>
      <c r="X18" s="7">
        <v>67</v>
      </c>
      <c r="Y18" s="7">
        <v>91</v>
      </c>
      <c r="Z18" s="8">
        <v>78</v>
      </c>
      <c r="AA18" s="79">
        <v>152</v>
      </c>
      <c r="AB18" s="79">
        <v>183</v>
      </c>
      <c r="AC18" s="7">
        <v>188</v>
      </c>
      <c r="AD18" s="7">
        <v>166</v>
      </c>
      <c r="AE18" s="7">
        <v>189</v>
      </c>
      <c r="AF18">
        <f>AVERAGE(AC18:AE18)</f>
        <v>181</v>
      </c>
      <c r="AG18">
        <f>AVERAGE(V18:AE18)</f>
        <v>123.8</v>
      </c>
      <c r="AH18">
        <v>1</v>
      </c>
      <c r="AK18" s="113" t="s">
        <v>197</v>
      </c>
      <c r="AL18" s="6">
        <v>14</v>
      </c>
      <c r="AM18" s="12" t="s">
        <v>12</v>
      </c>
      <c r="AN18" s="7">
        <v>9</v>
      </c>
      <c r="AO18" s="7">
        <v>16</v>
      </c>
      <c r="AP18" s="7">
        <v>10</v>
      </c>
      <c r="AQ18" s="8">
        <v>5</v>
      </c>
      <c r="AR18" s="8">
        <v>14</v>
      </c>
      <c r="AS18" s="7">
        <v>3</v>
      </c>
      <c r="AT18" s="7">
        <v>3</v>
      </c>
      <c r="AU18" s="7">
        <v>4</v>
      </c>
      <c r="AV18" s="7">
        <v>15</v>
      </c>
      <c r="AW18" s="7">
        <v>10</v>
      </c>
      <c r="AX18">
        <f>AVERAGE(AU18:AW18)</f>
        <v>9.6666666666666661</v>
      </c>
      <c r="AY18">
        <f>AVERAGE(AN18:AW18)</f>
        <v>8.9</v>
      </c>
      <c r="AZ18">
        <v>1</v>
      </c>
    </row>
    <row r="19" spans="1:52">
      <c r="A19" s="102" t="s">
        <v>198</v>
      </c>
      <c r="B19" s="6">
        <v>15</v>
      </c>
      <c r="C19" s="12" t="s">
        <v>12</v>
      </c>
      <c r="D19" s="7">
        <v>29</v>
      </c>
      <c r="E19" s="69">
        <v>50</v>
      </c>
      <c r="F19" s="7">
        <v>41</v>
      </c>
      <c r="G19" s="8">
        <v>44</v>
      </c>
      <c r="H19" s="8">
        <v>48</v>
      </c>
      <c r="I19" s="7">
        <v>38</v>
      </c>
      <c r="J19" s="7">
        <v>51</v>
      </c>
      <c r="K19" s="10">
        <v>37</v>
      </c>
      <c r="L19" s="7">
        <v>64</v>
      </c>
      <c r="M19" s="7">
        <v>43</v>
      </c>
      <c r="N19">
        <f>AVERAGE(K19:M19)</f>
        <v>48</v>
      </c>
      <c r="O19">
        <f>AVERAGE(D19:M19)</f>
        <v>44.5</v>
      </c>
      <c r="P19">
        <v>1</v>
      </c>
      <c r="S19" s="102" t="s">
        <v>198</v>
      </c>
      <c r="T19" s="6">
        <v>15</v>
      </c>
      <c r="U19" s="12" t="s">
        <v>12</v>
      </c>
      <c r="V19" s="7">
        <v>92</v>
      </c>
      <c r="W19" s="69">
        <v>114</v>
      </c>
      <c r="X19" s="7">
        <v>77</v>
      </c>
      <c r="Y19" s="8">
        <v>95</v>
      </c>
      <c r="Z19" s="8">
        <v>80</v>
      </c>
      <c r="AA19" s="7">
        <v>76</v>
      </c>
      <c r="AB19" s="7">
        <v>100</v>
      </c>
      <c r="AC19" s="10">
        <v>75</v>
      </c>
      <c r="AD19" s="7">
        <v>98</v>
      </c>
      <c r="AE19" s="7">
        <v>86</v>
      </c>
      <c r="AF19">
        <f>AVERAGE(AC19:AE19)</f>
        <v>86.333333333333329</v>
      </c>
      <c r="AG19">
        <f>AVERAGE(V19:AE19)</f>
        <v>89.3</v>
      </c>
      <c r="AH19">
        <v>1</v>
      </c>
      <c r="AK19" s="102" t="s">
        <v>198</v>
      </c>
      <c r="AL19" s="6">
        <v>15</v>
      </c>
      <c r="AM19" s="12" t="s">
        <v>12</v>
      </c>
      <c r="AN19" s="7">
        <v>9</v>
      </c>
      <c r="AO19" s="69">
        <v>38</v>
      </c>
      <c r="AP19" s="7">
        <v>33</v>
      </c>
      <c r="AQ19" s="8">
        <v>27</v>
      </c>
      <c r="AR19" s="8">
        <v>18</v>
      </c>
      <c r="AS19" s="7">
        <v>9</v>
      </c>
      <c r="AT19" s="7">
        <v>13</v>
      </c>
      <c r="AU19" s="7">
        <v>10</v>
      </c>
      <c r="AV19" s="7">
        <v>1</v>
      </c>
      <c r="AW19" s="7">
        <v>19</v>
      </c>
      <c r="AX19">
        <f>AVERAGE(AU19:AW19)</f>
        <v>10</v>
      </c>
      <c r="AY19">
        <f>AVERAGE(AN19:AW19)</f>
        <v>17.7</v>
      </c>
      <c r="AZ19">
        <v>1</v>
      </c>
    </row>
    <row r="20" spans="1:52">
      <c r="A20" s="113" t="s">
        <v>199</v>
      </c>
      <c r="B20" s="6">
        <v>16</v>
      </c>
      <c r="C20" s="12" t="s">
        <v>12</v>
      </c>
      <c r="D20" s="7">
        <v>30</v>
      </c>
      <c r="E20" s="7">
        <v>42</v>
      </c>
      <c r="F20" s="7">
        <v>37</v>
      </c>
      <c r="G20" s="8">
        <v>33</v>
      </c>
      <c r="H20" s="8">
        <v>26</v>
      </c>
      <c r="I20" s="80">
        <v>30</v>
      </c>
      <c r="J20" s="80">
        <v>31</v>
      </c>
      <c r="K20" s="7">
        <v>26</v>
      </c>
      <c r="L20" s="7">
        <v>34</v>
      </c>
      <c r="M20" s="7">
        <v>31</v>
      </c>
      <c r="N20">
        <f>AVERAGE(K20:M20)</f>
        <v>30.333333333333332</v>
      </c>
      <c r="O20">
        <f>AVERAGE(D20:M20)</f>
        <v>32</v>
      </c>
      <c r="P20">
        <v>1</v>
      </c>
      <c r="S20" s="113" t="s">
        <v>199</v>
      </c>
      <c r="T20" s="6">
        <v>16</v>
      </c>
      <c r="U20" s="12" t="s">
        <v>12</v>
      </c>
      <c r="V20" s="7">
        <v>53</v>
      </c>
      <c r="W20" s="7">
        <v>68</v>
      </c>
      <c r="X20" s="7">
        <v>71</v>
      </c>
      <c r="Y20" s="8">
        <v>74</v>
      </c>
      <c r="Z20" s="8">
        <v>57</v>
      </c>
      <c r="AA20" s="80">
        <v>56</v>
      </c>
      <c r="AB20" s="80">
        <v>60</v>
      </c>
      <c r="AC20" s="7">
        <v>42</v>
      </c>
      <c r="AD20" s="7">
        <v>52</v>
      </c>
      <c r="AE20" s="7">
        <v>59</v>
      </c>
      <c r="AF20">
        <f>AVERAGE(AC20:AE20)</f>
        <v>51</v>
      </c>
      <c r="AG20">
        <f>AVERAGE(V20:AE20)</f>
        <v>59.2</v>
      </c>
      <c r="AH20">
        <v>1</v>
      </c>
      <c r="AK20" s="113" t="s">
        <v>199</v>
      </c>
      <c r="AL20" s="6">
        <v>16</v>
      </c>
      <c r="AM20" s="12" t="s">
        <v>12</v>
      </c>
      <c r="AN20" s="7">
        <v>6</v>
      </c>
      <c r="AO20" s="7">
        <v>34</v>
      </c>
      <c r="AP20" s="7">
        <v>1</v>
      </c>
      <c r="AQ20" s="8">
        <v>5</v>
      </c>
      <c r="AR20" s="8">
        <v>3</v>
      </c>
      <c r="AS20" s="7">
        <v>1</v>
      </c>
      <c r="AT20" s="7">
        <v>17</v>
      </c>
      <c r="AU20" s="7">
        <v>8</v>
      </c>
      <c r="AV20" s="7">
        <v>28</v>
      </c>
      <c r="AW20" s="7">
        <v>5</v>
      </c>
      <c r="AX20">
        <f>AVERAGE(AU20:AW20)</f>
        <v>13.666666666666666</v>
      </c>
      <c r="AY20">
        <f>AVERAGE(AN20:AW20)</f>
        <v>10.8</v>
      </c>
      <c r="AZ20">
        <v>1</v>
      </c>
    </row>
    <row r="21" spans="1:52">
      <c r="M21" s="48" t="s">
        <v>252</v>
      </c>
      <c r="N21">
        <f>AVERAGE(N16:N20)</f>
        <v>42.800000000000004</v>
      </c>
      <c r="O21">
        <f>AVERAGE(O16:O20)</f>
        <v>39.739999999999995</v>
      </c>
      <c r="AE21" s="48" t="s">
        <v>252</v>
      </c>
      <c r="AF21">
        <f>AVERAGE(AF16:AF20)</f>
        <v>87.733333333333334</v>
      </c>
      <c r="AG21">
        <f>AVERAGE(AG16:AG20)</f>
        <v>83.5</v>
      </c>
    </row>
    <row r="24" spans="1:52">
      <c r="A24" s="102" t="s">
        <v>181</v>
      </c>
      <c r="B24" s="6">
        <v>6</v>
      </c>
      <c r="C24" s="12" t="s">
        <v>12</v>
      </c>
      <c r="D24" s="7">
        <v>46</v>
      </c>
      <c r="E24" s="7">
        <v>32</v>
      </c>
      <c r="F24" s="7">
        <v>36</v>
      </c>
      <c r="G24" s="8">
        <v>36</v>
      </c>
      <c r="H24" s="8">
        <v>26</v>
      </c>
      <c r="I24" s="7">
        <v>24</v>
      </c>
      <c r="J24" s="7">
        <v>37</v>
      </c>
      <c r="K24" s="7">
        <v>21</v>
      </c>
      <c r="L24" s="7">
        <v>23</v>
      </c>
      <c r="M24" s="7">
        <v>25</v>
      </c>
      <c r="N24">
        <f>AVERAGE(K24:M24)</f>
        <v>23</v>
      </c>
      <c r="O24">
        <f>AVERAGE(D24:M24)</f>
        <v>30.6</v>
      </c>
      <c r="P24">
        <v>30</v>
      </c>
      <c r="S24" s="102" t="s">
        <v>181</v>
      </c>
      <c r="T24" s="6">
        <v>6</v>
      </c>
      <c r="U24" s="12" t="s">
        <v>12</v>
      </c>
      <c r="V24" s="7">
        <v>111</v>
      </c>
      <c r="W24" s="7">
        <v>62</v>
      </c>
      <c r="X24" s="7">
        <v>70</v>
      </c>
      <c r="Y24" s="8">
        <v>55</v>
      </c>
      <c r="Z24" s="8">
        <v>39</v>
      </c>
      <c r="AA24" s="7">
        <v>39</v>
      </c>
      <c r="AB24" s="7">
        <v>51</v>
      </c>
      <c r="AC24" s="7">
        <v>29</v>
      </c>
      <c r="AD24" s="7">
        <v>37</v>
      </c>
      <c r="AE24" s="7">
        <v>37</v>
      </c>
      <c r="AF24">
        <f>AVERAGE(AC24:AE24)</f>
        <v>34.333333333333336</v>
      </c>
      <c r="AG24">
        <f>AVERAGE(V24:AE24)</f>
        <v>53</v>
      </c>
      <c r="AH24">
        <v>30</v>
      </c>
      <c r="AK24" s="102" t="s">
        <v>181</v>
      </c>
      <c r="AL24" s="6">
        <v>6</v>
      </c>
      <c r="AM24" s="12" t="s">
        <v>12</v>
      </c>
      <c r="AN24" s="7">
        <v>23</v>
      </c>
      <c r="AO24" s="7">
        <v>21</v>
      </c>
      <c r="AP24" s="7">
        <v>10</v>
      </c>
      <c r="AQ24" s="7">
        <v>13</v>
      </c>
      <c r="AR24" s="8">
        <v>5</v>
      </c>
      <c r="AS24" s="79">
        <v>6</v>
      </c>
      <c r="AT24" s="79">
        <v>14</v>
      </c>
      <c r="AU24" s="7">
        <v>13</v>
      </c>
      <c r="AV24" s="7">
        <v>3</v>
      </c>
      <c r="AW24" s="7">
        <v>0</v>
      </c>
      <c r="AX24">
        <f>AVERAGE(AU24:AW24)</f>
        <v>5.333333333333333</v>
      </c>
      <c r="AY24">
        <f>AVERAGE(AN24:AW24)</f>
        <v>10.8</v>
      </c>
      <c r="AZ24">
        <v>30</v>
      </c>
    </row>
    <row r="25" spans="1:52">
      <c r="A25" s="102" t="s">
        <v>186</v>
      </c>
      <c r="B25" s="6">
        <v>8</v>
      </c>
      <c r="C25" s="12" t="s">
        <v>12</v>
      </c>
      <c r="D25" s="7">
        <v>41</v>
      </c>
      <c r="E25" s="7">
        <v>71</v>
      </c>
      <c r="F25" s="7">
        <v>75</v>
      </c>
      <c r="G25" s="8">
        <v>55</v>
      </c>
      <c r="H25" s="8">
        <v>51</v>
      </c>
      <c r="I25" s="7">
        <v>18</v>
      </c>
      <c r="J25" s="7">
        <v>26</v>
      </c>
      <c r="K25" s="42">
        <v>27</v>
      </c>
      <c r="L25" s="7">
        <v>24</v>
      </c>
      <c r="M25" s="7">
        <v>23</v>
      </c>
      <c r="N25">
        <f>AVERAGE(K25:M25)</f>
        <v>24.666666666666668</v>
      </c>
      <c r="O25">
        <f>AVERAGE(D25:M25)</f>
        <v>41.1</v>
      </c>
      <c r="P25">
        <v>30</v>
      </c>
      <c r="S25" s="102" t="s">
        <v>186</v>
      </c>
      <c r="T25" s="6">
        <v>8</v>
      </c>
      <c r="U25" s="12" t="s">
        <v>12</v>
      </c>
      <c r="V25" s="7">
        <v>95</v>
      </c>
      <c r="W25" s="7">
        <v>137</v>
      </c>
      <c r="X25" s="7">
        <v>133</v>
      </c>
      <c r="Y25" s="8">
        <v>76</v>
      </c>
      <c r="Z25" s="8">
        <v>97</v>
      </c>
      <c r="AA25" s="7">
        <v>23</v>
      </c>
      <c r="AB25" s="7">
        <v>37</v>
      </c>
      <c r="AC25" s="42">
        <v>43</v>
      </c>
      <c r="AD25" s="7">
        <v>31</v>
      </c>
      <c r="AE25" s="7">
        <v>50</v>
      </c>
      <c r="AF25">
        <f>AVERAGE(AC25:AE25)</f>
        <v>41.333333333333336</v>
      </c>
      <c r="AG25">
        <f>AVERAGE(V25:AE25)</f>
        <v>72.2</v>
      </c>
      <c r="AH25">
        <v>30</v>
      </c>
      <c r="AK25" s="102" t="s">
        <v>186</v>
      </c>
      <c r="AL25" s="6">
        <v>8</v>
      </c>
      <c r="AM25" s="12" t="s">
        <v>12</v>
      </c>
      <c r="AN25" s="7">
        <v>23</v>
      </c>
      <c r="AO25" s="7">
        <v>11</v>
      </c>
      <c r="AP25" s="7">
        <v>24</v>
      </c>
      <c r="AQ25" s="8">
        <v>9</v>
      </c>
      <c r="AR25" s="8">
        <v>24</v>
      </c>
      <c r="AS25" s="80">
        <v>2</v>
      </c>
      <c r="AT25" s="80">
        <v>5</v>
      </c>
      <c r="AU25" s="42">
        <v>3</v>
      </c>
      <c r="AV25" s="7">
        <v>1</v>
      </c>
      <c r="AW25" s="7">
        <v>4</v>
      </c>
      <c r="AX25">
        <f>AVERAGE(AU25:AW25)</f>
        <v>2.6666666666666665</v>
      </c>
      <c r="AY25">
        <f>AVERAGE(AN25:AW25)</f>
        <v>10.6</v>
      </c>
      <c r="AZ25">
        <v>30</v>
      </c>
    </row>
    <row r="26" spans="1:52">
      <c r="A26" s="102" t="s">
        <v>189</v>
      </c>
      <c r="B26" s="6">
        <v>9</v>
      </c>
      <c r="C26" s="12" t="s">
        <v>12</v>
      </c>
      <c r="D26" s="7">
        <v>75</v>
      </c>
      <c r="E26" s="7">
        <v>75</v>
      </c>
      <c r="F26" s="7">
        <v>75</v>
      </c>
      <c r="G26" s="8">
        <v>75</v>
      </c>
      <c r="H26" s="8">
        <v>75</v>
      </c>
      <c r="I26" s="7">
        <v>75</v>
      </c>
      <c r="J26" s="7">
        <v>75</v>
      </c>
      <c r="K26" s="7">
        <v>75</v>
      </c>
      <c r="L26" s="7">
        <v>75</v>
      </c>
      <c r="M26" s="7">
        <v>75</v>
      </c>
      <c r="N26">
        <f>AVERAGE(K26:M26)</f>
        <v>75</v>
      </c>
      <c r="O26">
        <f>AVERAGE(D26:M26)</f>
        <v>75</v>
      </c>
      <c r="P26">
        <v>30</v>
      </c>
      <c r="S26" s="102" t="s">
        <v>189</v>
      </c>
      <c r="T26" s="6">
        <v>9</v>
      </c>
      <c r="U26" s="12" t="s">
        <v>12</v>
      </c>
      <c r="V26" s="7">
        <v>153</v>
      </c>
      <c r="W26" s="7">
        <v>204</v>
      </c>
      <c r="X26" s="7">
        <v>279</v>
      </c>
      <c r="Y26" s="8">
        <v>331</v>
      </c>
      <c r="Z26" s="8">
        <v>234</v>
      </c>
      <c r="AA26" s="7">
        <v>223</v>
      </c>
      <c r="AB26" s="7">
        <v>289</v>
      </c>
      <c r="AC26" s="7">
        <v>206</v>
      </c>
      <c r="AD26" s="7">
        <v>192</v>
      </c>
      <c r="AE26" s="7">
        <v>200</v>
      </c>
      <c r="AF26">
        <f>AVERAGE(AC26:AE26)</f>
        <v>199.33333333333334</v>
      </c>
      <c r="AG26">
        <f>AVERAGE(V26:AE26)</f>
        <v>231.1</v>
      </c>
      <c r="AH26">
        <v>30</v>
      </c>
      <c r="AK26" s="102" t="s">
        <v>189</v>
      </c>
      <c r="AL26" s="6">
        <v>9</v>
      </c>
      <c r="AM26" s="12" t="s">
        <v>12</v>
      </c>
      <c r="AN26" s="7">
        <v>46</v>
      </c>
      <c r="AO26" s="7">
        <v>24</v>
      </c>
      <c r="AP26" s="7">
        <v>26</v>
      </c>
      <c r="AQ26" s="8">
        <v>3</v>
      </c>
      <c r="AR26" s="8">
        <v>17</v>
      </c>
      <c r="AS26" s="7">
        <v>1</v>
      </c>
      <c r="AT26" s="7">
        <v>30</v>
      </c>
      <c r="AU26" s="7">
        <v>11</v>
      </c>
      <c r="AV26" s="7">
        <v>20</v>
      </c>
      <c r="AW26" s="7">
        <v>60</v>
      </c>
      <c r="AX26">
        <f>AVERAGE(AU26:AW26)</f>
        <v>30.333333333333332</v>
      </c>
      <c r="AY26">
        <f>AVERAGE(AN26:AW26)</f>
        <v>23.8</v>
      </c>
      <c r="AZ26">
        <v>30</v>
      </c>
    </row>
    <row r="27" spans="1:52">
      <c r="A27" s="102" t="s">
        <v>196</v>
      </c>
      <c r="B27" s="6">
        <v>13</v>
      </c>
      <c r="C27" s="12" t="s">
        <v>12</v>
      </c>
      <c r="D27" s="7">
        <v>6</v>
      </c>
      <c r="E27" s="7">
        <v>22</v>
      </c>
      <c r="F27" s="7">
        <v>39</v>
      </c>
      <c r="G27" s="8">
        <v>49</v>
      </c>
      <c r="H27" s="8">
        <v>40</v>
      </c>
      <c r="I27" s="7">
        <v>50</v>
      </c>
      <c r="J27" s="7">
        <v>51</v>
      </c>
      <c r="K27" s="7">
        <v>58</v>
      </c>
      <c r="L27" s="7">
        <v>58</v>
      </c>
      <c r="M27" s="7">
        <v>67</v>
      </c>
      <c r="N27">
        <f>AVERAGE(K27:M27)</f>
        <v>61</v>
      </c>
      <c r="O27">
        <f>AVERAGE(D27:M27)</f>
        <v>44</v>
      </c>
      <c r="P27">
        <v>30</v>
      </c>
      <c r="S27" s="102" t="s">
        <v>196</v>
      </c>
      <c r="T27" s="6">
        <v>13</v>
      </c>
      <c r="U27" s="12" t="s">
        <v>12</v>
      </c>
      <c r="V27" s="7">
        <v>6</v>
      </c>
      <c r="W27" s="7">
        <v>32</v>
      </c>
      <c r="X27" s="7">
        <v>66</v>
      </c>
      <c r="Y27" s="8">
        <v>103</v>
      </c>
      <c r="Z27" s="8">
        <v>91</v>
      </c>
      <c r="AA27" s="7">
        <v>79</v>
      </c>
      <c r="AB27" s="7">
        <v>85</v>
      </c>
      <c r="AC27" s="7">
        <v>96</v>
      </c>
      <c r="AD27" s="7">
        <v>119</v>
      </c>
      <c r="AE27" s="7">
        <v>165</v>
      </c>
      <c r="AF27">
        <f>AVERAGE(AC27:AE27)</f>
        <v>126.66666666666667</v>
      </c>
      <c r="AG27">
        <f>AVERAGE(V27:AE27)</f>
        <v>84.2</v>
      </c>
      <c r="AH27">
        <v>30</v>
      </c>
      <c r="AK27" s="102" t="s">
        <v>196</v>
      </c>
      <c r="AL27" s="6">
        <v>13</v>
      </c>
      <c r="AM27" s="12" t="s">
        <v>12</v>
      </c>
      <c r="AN27" s="7">
        <v>19</v>
      </c>
      <c r="AO27" s="7">
        <v>7</v>
      </c>
      <c r="AP27" s="7">
        <v>5</v>
      </c>
      <c r="AQ27" s="8">
        <v>1</v>
      </c>
      <c r="AR27" s="8">
        <v>1</v>
      </c>
      <c r="AS27" s="7">
        <v>2</v>
      </c>
      <c r="AT27" s="7">
        <v>1</v>
      </c>
      <c r="AU27" s="7">
        <v>2</v>
      </c>
      <c r="AV27" s="7">
        <v>13</v>
      </c>
      <c r="AW27" s="7">
        <v>76</v>
      </c>
      <c r="AX27">
        <f>AVERAGE(AU27:AW27)</f>
        <v>30.333333333333332</v>
      </c>
      <c r="AY27">
        <f>AVERAGE(AN27:AW27)</f>
        <v>12.7</v>
      </c>
      <c r="AZ27">
        <v>30</v>
      </c>
    </row>
    <row r="28" spans="1:52">
      <c r="M28" s="48" t="s">
        <v>252</v>
      </c>
      <c r="N28">
        <f>AVERAGE(N24:N27)</f>
        <v>45.916666666666671</v>
      </c>
      <c r="O28">
        <f>AVERAGE(O24:O27)</f>
        <v>47.674999999999997</v>
      </c>
      <c r="AE28" s="48" t="s">
        <v>252</v>
      </c>
      <c r="AF28">
        <f>AVERAGE(AF24:AF27)</f>
        <v>100.41666666666667</v>
      </c>
      <c r="AG28">
        <f>AVERAGE(AG24:AG27)</f>
        <v>110.125</v>
      </c>
    </row>
    <row r="31" spans="1:52">
      <c r="A31" s="113" t="s">
        <v>183</v>
      </c>
      <c r="B31" s="6">
        <v>7</v>
      </c>
      <c r="C31" s="12" t="s">
        <v>12</v>
      </c>
      <c r="D31" s="7">
        <v>29</v>
      </c>
      <c r="E31" s="7">
        <v>22</v>
      </c>
      <c r="F31" s="7">
        <v>39</v>
      </c>
      <c r="G31" s="8">
        <v>43</v>
      </c>
      <c r="H31" s="8">
        <v>52</v>
      </c>
      <c r="I31" s="7">
        <v>57</v>
      </c>
      <c r="J31" s="7">
        <v>61</v>
      </c>
      <c r="K31" s="7">
        <v>58</v>
      </c>
      <c r="L31" s="7">
        <v>59</v>
      </c>
      <c r="M31" s="7">
        <v>66</v>
      </c>
      <c r="N31">
        <f>AVERAGE(K31:M31)</f>
        <v>61</v>
      </c>
      <c r="O31">
        <f>AVERAGE(D31:M31)</f>
        <v>48.6</v>
      </c>
      <c r="P31" t="s">
        <v>13</v>
      </c>
      <c r="S31" s="113" t="s">
        <v>183</v>
      </c>
      <c r="T31" s="6">
        <v>7</v>
      </c>
      <c r="U31" s="12" t="s">
        <v>12</v>
      </c>
      <c r="V31" s="7">
        <v>46</v>
      </c>
      <c r="W31" s="7">
        <v>28</v>
      </c>
      <c r="X31" s="7">
        <v>46</v>
      </c>
      <c r="Y31" s="8">
        <v>46</v>
      </c>
      <c r="Z31" s="8">
        <v>60</v>
      </c>
      <c r="AA31" s="7">
        <v>80</v>
      </c>
      <c r="AB31" s="7">
        <v>86</v>
      </c>
      <c r="AC31" s="7">
        <v>85</v>
      </c>
      <c r="AD31" s="7">
        <v>100</v>
      </c>
      <c r="AE31" s="7">
        <v>93</v>
      </c>
      <c r="AF31">
        <f>AVERAGE(AC31:AE31)</f>
        <v>92.666666666666671</v>
      </c>
      <c r="AG31">
        <f>AVERAGE(V31:AE31)</f>
        <v>67</v>
      </c>
      <c r="AH31" t="s">
        <v>13</v>
      </c>
      <c r="AK31" s="113" t="s">
        <v>183</v>
      </c>
      <c r="AL31" s="6">
        <v>7</v>
      </c>
      <c r="AM31" s="12" t="s">
        <v>12</v>
      </c>
      <c r="AN31" s="7">
        <v>5</v>
      </c>
      <c r="AO31" s="7">
        <v>17</v>
      </c>
      <c r="AP31" s="7">
        <v>1</v>
      </c>
      <c r="AQ31" s="8">
        <v>0</v>
      </c>
      <c r="AR31" s="8">
        <v>0</v>
      </c>
      <c r="AS31" s="7">
        <v>0</v>
      </c>
      <c r="AT31" s="7">
        <v>3</v>
      </c>
      <c r="AU31" s="10">
        <v>7</v>
      </c>
      <c r="AV31" s="7">
        <v>3</v>
      </c>
      <c r="AW31" s="7">
        <v>2</v>
      </c>
      <c r="AX31">
        <f>AVERAGE(AU31:AW31)</f>
        <v>4</v>
      </c>
      <c r="AY31">
        <f>AVERAGE(AN31:AW31)</f>
        <v>3.8</v>
      </c>
      <c r="AZ31" t="s">
        <v>13</v>
      </c>
    </row>
    <row r="32" spans="1:52">
      <c r="A32" s="102" t="s">
        <v>192</v>
      </c>
      <c r="B32" s="6">
        <v>10</v>
      </c>
      <c r="C32" s="12" t="s">
        <v>12</v>
      </c>
      <c r="D32" s="7">
        <v>39</v>
      </c>
      <c r="E32" s="7">
        <v>45</v>
      </c>
      <c r="F32" s="7">
        <v>34</v>
      </c>
      <c r="G32" s="138">
        <v>37</v>
      </c>
      <c r="H32" s="8">
        <v>43</v>
      </c>
      <c r="I32" s="7">
        <v>32</v>
      </c>
      <c r="J32" s="7">
        <v>27</v>
      </c>
      <c r="K32" s="7">
        <v>35</v>
      </c>
      <c r="L32" s="7">
        <v>37</v>
      </c>
      <c r="M32" s="7">
        <v>74</v>
      </c>
      <c r="N32">
        <f>AVERAGE(K32:M32)</f>
        <v>48.666666666666664</v>
      </c>
      <c r="O32">
        <f>AVERAGE(D32:M32)</f>
        <v>40.299999999999997</v>
      </c>
      <c r="P32" t="s">
        <v>13</v>
      </c>
      <c r="S32" s="102" t="s">
        <v>192</v>
      </c>
      <c r="T32" s="6">
        <v>10</v>
      </c>
      <c r="U32" s="12" t="s">
        <v>12</v>
      </c>
      <c r="V32" s="7">
        <v>77</v>
      </c>
      <c r="W32" s="7">
        <v>76</v>
      </c>
      <c r="X32" s="7">
        <v>54</v>
      </c>
      <c r="Y32" s="138">
        <v>64</v>
      </c>
      <c r="Z32" s="8">
        <v>90</v>
      </c>
      <c r="AA32" s="7">
        <v>80</v>
      </c>
      <c r="AB32" s="7">
        <v>82</v>
      </c>
      <c r="AC32" s="7">
        <v>66</v>
      </c>
      <c r="AD32" s="7">
        <v>54</v>
      </c>
      <c r="AE32" s="7">
        <v>203</v>
      </c>
      <c r="AF32">
        <f>AVERAGE(AC32:AE32)</f>
        <v>107.66666666666667</v>
      </c>
      <c r="AG32">
        <f>AVERAGE(V32:AE32)</f>
        <v>84.6</v>
      </c>
      <c r="AH32" t="s">
        <v>13</v>
      </c>
      <c r="AK32" s="102" t="s">
        <v>192</v>
      </c>
      <c r="AL32" s="6">
        <v>10</v>
      </c>
      <c r="AM32" s="12" t="s">
        <v>12</v>
      </c>
      <c r="AN32" s="7">
        <v>36</v>
      </c>
      <c r="AO32" s="7">
        <v>25</v>
      </c>
      <c r="AP32" s="7">
        <v>13</v>
      </c>
      <c r="AQ32" s="138">
        <v>3</v>
      </c>
      <c r="AR32" s="8">
        <v>19</v>
      </c>
      <c r="AS32" s="7">
        <v>6</v>
      </c>
      <c r="AT32" s="7">
        <v>13</v>
      </c>
      <c r="AU32" s="7">
        <v>10</v>
      </c>
      <c r="AV32" s="7">
        <v>15</v>
      </c>
      <c r="AW32" s="7">
        <v>28</v>
      </c>
      <c r="AX32">
        <f>AVERAGE(AU32:AW32)</f>
        <v>17.666666666666668</v>
      </c>
      <c r="AY32">
        <f>AVERAGE(AN32:AW32)</f>
        <v>16.8</v>
      </c>
      <c r="AZ32" t="s">
        <v>13</v>
      </c>
    </row>
    <row r="33" spans="1:51">
      <c r="M33" s="48" t="s">
        <v>252</v>
      </c>
      <c r="N33">
        <f>AVERAGE(N31:N32)</f>
        <v>54.833333333333329</v>
      </c>
      <c r="O33">
        <f>AVERAGE(O31:O32)</f>
        <v>44.45</v>
      </c>
      <c r="AE33" s="48" t="s">
        <v>252</v>
      </c>
      <c r="AF33">
        <f>AVERAGE(AF31:AF32)</f>
        <v>100.16666666666667</v>
      </c>
      <c r="AG33">
        <f>AVERAGE(AG31:AG32)</f>
        <v>75.8</v>
      </c>
    </row>
    <row r="36" spans="1:51">
      <c r="N36" s="48" t="s">
        <v>230</v>
      </c>
      <c r="O36" s="48" t="s">
        <v>231</v>
      </c>
      <c r="P36" t="s">
        <v>232</v>
      </c>
    </row>
    <row r="37" spans="1:51">
      <c r="A37" s="102" t="s">
        <v>173</v>
      </c>
      <c r="B37" s="6">
        <v>3</v>
      </c>
      <c r="C37" s="12" t="s">
        <v>224</v>
      </c>
      <c r="D37" s="7">
        <v>9</v>
      </c>
      <c r="E37" s="7">
        <v>18</v>
      </c>
      <c r="F37" s="7">
        <v>11</v>
      </c>
      <c r="G37" s="8">
        <v>20</v>
      </c>
      <c r="H37" s="8">
        <v>23</v>
      </c>
      <c r="I37" s="7">
        <v>13</v>
      </c>
      <c r="J37" s="7">
        <v>18</v>
      </c>
      <c r="K37" s="7">
        <v>45</v>
      </c>
      <c r="L37" s="7">
        <v>10</v>
      </c>
      <c r="M37" s="7">
        <v>16</v>
      </c>
      <c r="N37">
        <f>AVERAGE(K37:M37)</f>
        <v>23.666666666666668</v>
      </c>
      <c r="O37">
        <f>AVERAGE(D37:M37)</f>
        <v>18.3</v>
      </c>
      <c r="P37" t="s">
        <v>275</v>
      </c>
      <c r="S37" s="102" t="s">
        <v>173</v>
      </c>
      <c r="T37" s="6">
        <v>3</v>
      </c>
      <c r="U37" s="12" t="s">
        <v>224</v>
      </c>
      <c r="V37" s="7">
        <v>11</v>
      </c>
      <c r="W37" s="7">
        <v>29</v>
      </c>
      <c r="X37" s="7">
        <v>15</v>
      </c>
      <c r="Y37" s="8">
        <v>30</v>
      </c>
      <c r="Z37" s="8">
        <v>32</v>
      </c>
      <c r="AA37" s="7">
        <v>20</v>
      </c>
      <c r="AB37" s="7">
        <v>23</v>
      </c>
      <c r="AC37" s="7">
        <v>108</v>
      </c>
      <c r="AD37" s="7">
        <v>11</v>
      </c>
      <c r="AE37" s="7">
        <v>23</v>
      </c>
      <c r="AF37">
        <f>AVERAGE(AC37:AE37)</f>
        <v>47.333333333333336</v>
      </c>
      <c r="AG37">
        <f>AVERAGE(V37:AE37)</f>
        <v>30.2</v>
      </c>
      <c r="AK37" s="102" t="s">
        <v>173</v>
      </c>
      <c r="AL37" s="6">
        <v>3</v>
      </c>
      <c r="AM37" s="12" t="s">
        <v>224</v>
      </c>
      <c r="AN37" s="7">
        <v>2</v>
      </c>
      <c r="AO37" s="7">
        <v>8</v>
      </c>
      <c r="AP37" s="7">
        <v>7</v>
      </c>
      <c r="AQ37" s="8">
        <v>8</v>
      </c>
      <c r="AR37" s="8">
        <v>30</v>
      </c>
      <c r="AS37" s="7">
        <v>12</v>
      </c>
      <c r="AT37" s="7">
        <v>11</v>
      </c>
      <c r="AU37" s="7">
        <v>59</v>
      </c>
      <c r="AV37" s="7">
        <v>7</v>
      </c>
      <c r="AW37" s="7">
        <v>1</v>
      </c>
      <c r="AX37">
        <f>AVERAGE(AU37:AW37)</f>
        <v>22.333333333333332</v>
      </c>
      <c r="AY37">
        <f>AVERAGE(AN37:AW37)</f>
        <v>14.5</v>
      </c>
    </row>
    <row r="38" spans="1:51">
      <c r="A38" s="113" t="s">
        <v>175</v>
      </c>
      <c r="B38" s="6">
        <v>4</v>
      </c>
      <c r="C38" s="12" t="s">
        <v>224</v>
      </c>
      <c r="D38" s="7">
        <v>10</v>
      </c>
      <c r="E38" s="7">
        <v>75</v>
      </c>
      <c r="F38" s="7">
        <v>38</v>
      </c>
      <c r="G38" s="8">
        <v>22</v>
      </c>
      <c r="H38" s="8">
        <v>38</v>
      </c>
      <c r="I38" s="7">
        <v>41</v>
      </c>
      <c r="J38" s="7">
        <v>31</v>
      </c>
      <c r="K38" s="7">
        <v>17</v>
      </c>
      <c r="L38" s="7">
        <v>6</v>
      </c>
      <c r="M38" s="7">
        <v>23</v>
      </c>
      <c r="N38">
        <f>AVERAGE(K38:M38)</f>
        <v>15.333333333333334</v>
      </c>
      <c r="O38">
        <f>AVERAGE(D38:M38)</f>
        <v>30.1</v>
      </c>
      <c r="P38" t="s">
        <v>275</v>
      </c>
      <c r="S38" s="113" t="s">
        <v>175</v>
      </c>
      <c r="T38" s="6">
        <v>4</v>
      </c>
      <c r="U38" s="12" t="s">
        <v>224</v>
      </c>
      <c r="V38" s="7">
        <v>11</v>
      </c>
      <c r="W38" s="7">
        <v>112</v>
      </c>
      <c r="X38" s="7">
        <v>55</v>
      </c>
      <c r="Y38" s="8">
        <v>26</v>
      </c>
      <c r="Z38" s="8">
        <v>48</v>
      </c>
      <c r="AA38" s="7">
        <v>53</v>
      </c>
      <c r="AB38" s="7">
        <v>37</v>
      </c>
      <c r="AC38" s="7">
        <v>22</v>
      </c>
      <c r="AD38" s="7">
        <v>9</v>
      </c>
      <c r="AE38" s="7">
        <v>27</v>
      </c>
      <c r="AF38">
        <f>AVERAGE(AC38:AE38)</f>
        <v>19.333333333333332</v>
      </c>
      <c r="AG38">
        <f>AVERAGE(V38:AE38)</f>
        <v>40</v>
      </c>
      <c r="AK38" s="113" t="s">
        <v>175</v>
      </c>
      <c r="AL38" s="6">
        <v>4</v>
      </c>
      <c r="AM38" s="12" t="s">
        <v>224</v>
      </c>
      <c r="AN38" s="7">
        <v>13</v>
      </c>
      <c r="AO38" s="7">
        <v>23</v>
      </c>
      <c r="AP38" s="7">
        <v>3</v>
      </c>
      <c r="AQ38" s="8">
        <v>10</v>
      </c>
      <c r="AR38" s="8">
        <v>8</v>
      </c>
      <c r="AS38" s="7">
        <v>10</v>
      </c>
      <c r="AT38" s="7">
        <v>7</v>
      </c>
      <c r="AU38" s="7">
        <v>6</v>
      </c>
      <c r="AV38" s="7">
        <v>1</v>
      </c>
      <c r="AW38" s="7">
        <v>1</v>
      </c>
      <c r="AX38">
        <f>AVERAGE(AU38:AW38)</f>
        <v>2.6666666666666665</v>
      </c>
      <c r="AY38">
        <f>AVERAGE(AN38:AW38)</f>
        <v>8.1999999999999993</v>
      </c>
    </row>
    <row r="39" spans="1:51">
      <c r="A39" s="102" t="s">
        <v>178</v>
      </c>
      <c r="B39" s="6">
        <v>5</v>
      </c>
      <c r="C39" s="12" t="s">
        <v>224</v>
      </c>
      <c r="D39" s="7">
        <v>75</v>
      </c>
      <c r="E39" s="7">
        <v>34</v>
      </c>
      <c r="F39" s="7">
        <v>57</v>
      </c>
      <c r="G39" s="42">
        <v>53</v>
      </c>
      <c r="H39" s="8">
        <v>68</v>
      </c>
      <c r="I39" s="7">
        <v>75</v>
      </c>
      <c r="J39" s="7">
        <v>57</v>
      </c>
      <c r="K39" s="7">
        <v>39</v>
      </c>
      <c r="L39" s="7">
        <v>46</v>
      </c>
      <c r="M39" s="7">
        <v>70</v>
      </c>
      <c r="N39">
        <f>AVERAGE(K39:M39)</f>
        <v>51.666666666666664</v>
      </c>
      <c r="O39">
        <f>AVERAGE(D39:M39)</f>
        <v>57.4</v>
      </c>
      <c r="P39" t="s">
        <v>275</v>
      </c>
      <c r="S39" s="102" t="s">
        <v>178</v>
      </c>
      <c r="T39" s="6">
        <v>5</v>
      </c>
      <c r="U39" s="12" t="s">
        <v>224</v>
      </c>
      <c r="V39" s="7">
        <v>201</v>
      </c>
      <c r="W39" s="7">
        <v>60</v>
      </c>
      <c r="X39" s="7">
        <v>87</v>
      </c>
      <c r="Y39" s="42">
        <v>76</v>
      </c>
      <c r="Z39" s="8">
        <v>92</v>
      </c>
      <c r="AA39" s="7">
        <v>111</v>
      </c>
      <c r="AB39" s="7">
        <v>86</v>
      </c>
      <c r="AC39" s="7">
        <v>52</v>
      </c>
      <c r="AD39" s="7">
        <v>68</v>
      </c>
      <c r="AE39" s="7">
        <v>92</v>
      </c>
      <c r="AF39">
        <f>AVERAGE(AC39:AE39)</f>
        <v>70.666666666666671</v>
      </c>
      <c r="AG39">
        <f>AVERAGE(V39:AE39)</f>
        <v>92.5</v>
      </c>
      <c r="AK39" s="102" t="s">
        <v>178</v>
      </c>
      <c r="AL39" s="6">
        <v>5</v>
      </c>
      <c r="AM39" s="12" t="s">
        <v>224</v>
      </c>
      <c r="AN39" s="7">
        <v>100</v>
      </c>
      <c r="AO39" s="7">
        <v>76</v>
      </c>
      <c r="AP39" s="7">
        <v>23</v>
      </c>
      <c r="AQ39" s="42">
        <v>43</v>
      </c>
      <c r="AR39" s="8">
        <v>27</v>
      </c>
      <c r="AS39" s="7">
        <v>7</v>
      </c>
      <c r="AT39" s="7">
        <v>20</v>
      </c>
      <c r="AU39" s="7">
        <v>20</v>
      </c>
      <c r="AV39" s="7">
        <v>22</v>
      </c>
      <c r="AW39" s="7">
        <v>52</v>
      </c>
      <c r="AX39">
        <f>AVERAGE(AU39:AW39)</f>
        <v>31.333333333333332</v>
      </c>
      <c r="AY39">
        <f>AVERAGE(AN39:AW39)</f>
        <v>39</v>
      </c>
    </row>
    <row r="40" spans="1:51">
      <c r="A40" s="102" t="s">
        <v>194</v>
      </c>
      <c r="B40" s="6">
        <v>11</v>
      </c>
      <c r="C40" s="12" t="s">
        <v>224</v>
      </c>
      <c r="D40" s="7">
        <v>33</v>
      </c>
      <c r="E40" s="42">
        <v>52</v>
      </c>
      <c r="F40" s="42">
        <v>22</v>
      </c>
      <c r="G40" s="7">
        <v>32</v>
      </c>
      <c r="H40" s="42">
        <v>62</v>
      </c>
      <c r="I40" s="139">
        <v>34</v>
      </c>
      <c r="J40" s="81">
        <v>28</v>
      </c>
      <c r="K40" s="42">
        <v>32</v>
      </c>
      <c r="L40" s="7">
        <v>48</v>
      </c>
      <c r="M40" s="7">
        <v>22</v>
      </c>
      <c r="N40">
        <f>AVERAGE(K40:M40)</f>
        <v>34</v>
      </c>
      <c r="O40">
        <f>AVERAGE(D40:M40)</f>
        <v>36.5</v>
      </c>
      <c r="P40" t="s">
        <v>275</v>
      </c>
      <c r="S40" s="102" t="s">
        <v>194</v>
      </c>
      <c r="T40" s="6">
        <v>11</v>
      </c>
      <c r="U40" s="12" t="s">
        <v>224</v>
      </c>
      <c r="V40" s="7">
        <v>57</v>
      </c>
      <c r="W40" s="42">
        <v>81</v>
      </c>
      <c r="X40" s="42">
        <v>30</v>
      </c>
      <c r="Y40" s="7">
        <v>54</v>
      </c>
      <c r="Z40" s="42">
        <v>120</v>
      </c>
      <c r="AA40" s="139">
        <v>55</v>
      </c>
      <c r="AB40" s="81">
        <v>49</v>
      </c>
      <c r="AC40" s="42">
        <v>48</v>
      </c>
      <c r="AD40" s="7">
        <v>68</v>
      </c>
      <c r="AE40" s="7">
        <v>36</v>
      </c>
      <c r="AF40">
        <f>AVERAGE(AC40:AE40)</f>
        <v>50.666666666666664</v>
      </c>
      <c r="AG40">
        <f>AVERAGE(V40:AE40)</f>
        <v>59.8</v>
      </c>
      <c r="AK40" s="102" t="s">
        <v>194</v>
      </c>
      <c r="AL40" s="6">
        <v>11</v>
      </c>
      <c r="AM40" s="12" t="s">
        <v>224</v>
      </c>
      <c r="AN40" s="7">
        <v>14</v>
      </c>
      <c r="AO40" s="42">
        <v>21</v>
      </c>
      <c r="AP40" s="42">
        <v>13</v>
      </c>
      <c r="AQ40" s="7">
        <v>15</v>
      </c>
      <c r="AR40" s="42">
        <v>19</v>
      </c>
      <c r="AS40" s="139">
        <v>13</v>
      </c>
      <c r="AT40" s="81">
        <v>5</v>
      </c>
      <c r="AU40" s="42">
        <v>13</v>
      </c>
      <c r="AV40" s="7">
        <v>8</v>
      </c>
      <c r="AW40" s="7">
        <v>12</v>
      </c>
      <c r="AX40">
        <f>AVERAGE(AU40:AW40)</f>
        <v>11</v>
      </c>
      <c r="AY40">
        <f>AVERAGE(AN40:AW40)</f>
        <v>13.3</v>
      </c>
    </row>
    <row r="41" spans="1:51">
      <c r="A41" s="102" t="s">
        <v>195</v>
      </c>
      <c r="B41" s="6">
        <v>12</v>
      </c>
      <c r="C41" s="12" t="s">
        <v>224</v>
      </c>
      <c r="D41" s="7">
        <v>4</v>
      </c>
      <c r="E41" s="7">
        <v>2</v>
      </c>
      <c r="F41" s="7">
        <v>4</v>
      </c>
      <c r="G41" s="8">
        <v>8</v>
      </c>
      <c r="H41" s="8">
        <v>6</v>
      </c>
      <c r="I41" s="7">
        <v>5</v>
      </c>
      <c r="J41" s="7">
        <v>3</v>
      </c>
      <c r="K41" s="7">
        <v>5</v>
      </c>
      <c r="L41" s="7">
        <v>2</v>
      </c>
      <c r="M41" s="7">
        <v>2</v>
      </c>
      <c r="N41">
        <f>AVERAGE(K41:M41)</f>
        <v>3</v>
      </c>
      <c r="O41">
        <f>AVERAGE(D41:M41)</f>
        <v>4.0999999999999996</v>
      </c>
      <c r="P41" t="s">
        <v>275</v>
      </c>
      <c r="S41" s="102" t="s">
        <v>195</v>
      </c>
      <c r="T41" s="6">
        <v>12</v>
      </c>
      <c r="U41" s="12" t="s">
        <v>224</v>
      </c>
      <c r="V41" s="7">
        <v>7</v>
      </c>
      <c r="W41" s="7">
        <v>4</v>
      </c>
      <c r="X41" s="7">
        <v>6</v>
      </c>
      <c r="Y41" s="8">
        <v>20</v>
      </c>
      <c r="Z41" s="8">
        <v>10</v>
      </c>
      <c r="AA41" s="7">
        <v>7</v>
      </c>
      <c r="AB41" s="7">
        <v>4</v>
      </c>
      <c r="AC41" s="7">
        <v>6</v>
      </c>
      <c r="AD41" s="7">
        <v>3</v>
      </c>
      <c r="AE41" s="7">
        <v>3</v>
      </c>
      <c r="AF41">
        <f>AVERAGE(AC41:AE41)</f>
        <v>4</v>
      </c>
      <c r="AG41">
        <f>AVERAGE(V41:AE41)</f>
        <v>7</v>
      </c>
      <c r="AK41" s="102" t="s">
        <v>195</v>
      </c>
      <c r="AL41" s="6">
        <v>12</v>
      </c>
      <c r="AM41" s="12" t="s">
        <v>224</v>
      </c>
      <c r="AN41" s="7">
        <v>14</v>
      </c>
      <c r="AO41" s="7">
        <v>0</v>
      </c>
      <c r="AP41" s="7">
        <v>23</v>
      </c>
      <c r="AQ41" s="8">
        <v>9</v>
      </c>
      <c r="AR41" s="8">
        <v>6</v>
      </c>
      <c r="AS41" s="7">
        <v>2</v>
      </c>
      <c r="AT41" s="7">
        <v>3</v>
      </c>
      <c r="AU41" s="7">
        <v>2</v>
      </c>
      <c r="AV41" s="7">
        <v>2</v>
      </c>
      <c r="AW41" s="7">
        <v>1</v>
      </c>
      <c r="AX41">
        <f>AVERAGE(AU41:AW41)</f>
        <v>1.6666666666666667</v>
      </c>
      <c r="AY41">
        <f>AVERAGE(AN41:AW41)</f>
        <v>6.2</v>
      </c>
    </row>
  </sheetData>
  <sortState xmlns:xlrd2="http://schemas.microsoft.com/office/spreadsheetml/2017/richdata2" ref="S16:AH32">
    <sortCondition ref="AH16:AH32"/>
    <sortCondition ref="T16:T3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86"/>
  <sheetViews>
    <sheetView topLeftCell="A16" zoomScale="80" zoomScaleNormal="80" workbookViewId="0">
      <selection activeCell="T58" sqref="T58:V67"/>
    </sheetView>
  </sheetViews>
  <sheetFormatPr defaultRowHeight="14.45"/>
  <cols>
    <col min="1" max="1" width="11.85546875" bestFit="1" customWidth="1"/>
    <col min="2" max="2" width="9.140625" bestFit="1" customWidth="1"/>
    <col min="3" max="3" width="14.5703125" customWidth="1"/>
    <col min="4" max="4" width="10.42578125" bestFit="1" customWidth="1"/>
    <col min="5" max="5" width="10.5703125" bestFit="1" customWidth="1"/>
    <col min="6" max="6" width="10.7109375" customWidth="1"/>
    <col min="7" max="7" width="13.85546875" customWidth="1"/>
    <col min="8" max="8" width="15" customWidth="1"/>
    <col min="9" max="9" width="24.85546875" bestFit="1" customWidth="1"/>
    <col min="16" max="16" width="8.7109375" style="18"/>
  </cols>
  <sheetData>
    <row r="1" spans="1:16">
      <c r="C1" t="s">
        <v>286</v>
      </c>
      <c r="P1"/>
    </row>
    <row r="2" spans="1:16">
      <c r="C2" t="s">
        <v>211</v>
      </c>
      <c r="D2" s="14">
        <v>44232</v>
      </c>
      <c r="E2" t="s">
        <v>287</v>
      </c>
      <c r="P2"/>
    </row>
    <row r="3" spans="1:16">
      <c r="A3" s="12" t="s">
        <v>288</v>
      </c>
      <c r="B3" s="12" t="s">
        <v>289</v>
      </c>
      <c r="C3" s="12" t="s">
        <v>290</v>
      </c>
      <c r="D3" s="12" t="s">
        <v>291</v>
      </c>
      <c r="E3" s="12" t="s">
        <v>232</v>
      </c>
      <c r="F3" s="15" t="s">
        <v>226</v>
      </c>
      <c r="G3" s="15" t="s">
        <v>292</v>
      </c>
      <c r="H3" s="15" t="s">
        <v>293</v>
      </c>
      <c r="I3" s="15" t="s">
        <v>294</v>
      </c>
      <c r="J3" s="15" t="s">
        <v>204</v>
      </c>
      <c r="P3"/>
    </row>
    <row r="4" spans="1:16" ht="15.6">
      <c r="A4" s="63" t="s">
        <v>295</v>
      </c>
      <c r="B4" s="53" t="s">
        <v>296</v>
      </c>
      <c r="C4" s="54" t="s">
        <v>10</v>
      </c>
      <c r="D4" s="55">
        <v>1</v>
      </c>
      <c r="E4" t="s">
        <v>17</v>
      </c>
      <c r="F4">
        <v>13</v>
      </c>
      <c r="G4" s="63">
        <v>42</v>
      </c>
      <c r="H4">
        <v>17</v>
      </c>
      <c r="I4" t="s">
        <v>297</v>
      </c>
      <c r="J4" t="s">
        <v>297</v>
      </c>
      <c r="P4"/>
    </row>
    <row r="5" spans="1:16" ht="15.6">
      <c r="A5" s="59" t="s">
        <v>298</v>
      </c>
      <c r="B5" s="53" t="s">
        <v>296</v>
      </c>
      <c r="C5" s="54" t="s">
        <v>18</v>
      </c>
      <c r="D5" s="55">
        <v>2</v>
      </c>
      <c r="E5" t="s">
        <v>17</v>
      </c>
      <c r="F5">
        <v>24</v>
      </c>
      <c r="G5" s="59">
        <v>62</v>
      </c>
      <c r="H5">
        <v>17</v>
      </c>
      <c r="I5" t="s">
        <v>299</v>
      </c>
      <c r="J5" t="s">
        <v>297</v>
      </c>
      <c r="P5"/>
    </row>
    <row r="6" spans="1:16" ht="15.6">
      <c r="A6" s="59" t="s">
        <v>300</v>
      </c>
      <c r="B6" s="53" t="s">
        <v>296</v>
      </c>
      <c r="C6" s="54">
        <v>544</v>
      </c>
      <c r="D6" s="55">
        <v>3</v>
      </c>
      <c r="E6" t="s">
        <v>17</v>
      </c>
      <c r="F6">
        <v>22</v>
      </c>
      <c r="G6" s="59">
        <v>72</v>
      </c>
      <c r="H6">
        <v>19</v>
      </c>
      <c r="I6" t="s">
        <v>297</v>
      </c>
      <c r="P6"/>
    </row>
    <row r="7" spans="1:16" ht="15.6">
      <c r="A7" s="59" t="s">
        <v>298</v>
      </c>
      <c r="B7" s="53" t="s">
        <v>296</v>
      </c>
      <c r="C7" s="54">
        <v>545</v>
      </c>
      <c r="D7" s="55">
        <v>4</v>
      </c>
      <c r="E7" t="s">
        <v>17</v>
      </c>
      <c r="F7">
        <v>27</v>
      </c>
      <c r="G7" s="59">
        <v>82</v>
      </c>
      <c r="H7">
        <v>13</v>
      </c>
      <c r="I7" t="s">
        <v>297</v>
      </c>
      <c r="P7"/>
    </row>
    <row r="8" spans="1:16" ht="15.6">
      <c r="A8" s="59" t="s">
        <v>298</v>
      </c>
      <c r="B8" s="53" t="s">
        <v>296</v>
      </c>
      <c r="C8" s="54" t="s">
        <v>25</v>
      </c>
      <c r="D8" s="55">
        <v>5</v>
      </c>
      <c r="E8" t="s">
        <v>17</v>
      </c>
      <c r="F8">
        <v>18</v>
      </c>
      <c r="G8" s="59">
        <v>31</v>
      </c>
      <c r="H8">
        <v>20</v>
      </c>
      <c r="I8" t="s">
        <v>297</v>
      </c>
      <c r="P8"/>
    </row>
    <row r="9" spans="1:16" ht="15.6">
      <c r="A9" s="59" t="s">
        <v>298</v>
      </c>
      <c r="B9" s="53" t="s">
        <v>296</v>
      </c>
      <c r="C9" s="54" t="s">
        <v>30</v>
      </c>
      <c r="D9" s="55">
        <v>6</v>
      </c>
      <c r="E9" t="s">
        <v>17</v>
      </c>
      <c r="F9">
        <v>9</v>
      </c>
      <c r="G9" s="59">
        <v>21</v>
      </c>
      <c r="H9">
        <v>4</v>
      </c>
      <c r="I9" t="s">
        <v>297</v>
      </c>
      <c r="P9"/>
    </row>
    <row r="10" spans="1:16">
      <c r="A10" t="s">
        <v>301</v>
      </c>
      <c r="B10" s="12" t="s">
        <v>302</v>
      </c>
      <c r="C10" s="56" t="s">
        <v>54</v>
      </c>
      <c r="D10" s="57">
        <v>15</v>
      </c>
      <c r="E10" t="s">
        <v>17</v>
      </c>
      <c r="F10">
        <v>6</v>
      </c>
      <c r="G10">
        <v>11</v>
      </c>
      <c r="H10">
        <v>7</v>
      </c>
      <c r="I10" t="s">
        <v>297</v>
      </c>
      <c r="J10" t="s">
        <v>297</v>
      </c>
      <c r="P10"/>
    </row>
    <row r="11" spans="1:16">
      <c r="A11" t="s">
        <v>301</v>
      </c>
      <c r="B11" s="12" t="s">
        <v>302</v>
      </c>
      <c r="C11" s="56" t="s">
        <v>55</v>
      </c>
      <c r="D11" s="57">
        <v>16</v>
      </c>
      <c r="E11" t="s">
        <v>17</v>
      </c>
      <c r="F11">
        <v>19</v>
      </c>
      <c r="G11">
        <v>49</v>
      </c>
      <c r="H11">
        <v>33</v>
      </c>
      <c r="I11" t="s">
        <v>297</v>
      </c>
      <c r="J11" t="s">
        <v>297</v>
      </c>
      <c r="P11"/>
    </row>
    <row r="12" spans="1:16">
      <c r="P12"/>
    </row>
    <row r="13" spans="1:16">
      <c r="P13"/>
    </row>
    <row r="14" spans="1:16">
      <c r="C14" t="s">
        <v>303</v>
      </c>
      <c r="D14" s="14">
        <v>44260</v>
      </c>
      <c r="E14" t="s">
        <v>287</v>
      </c>
      <c r="P14"/>
    </row>
    <row r="15" spans="1:16">
      <c r="A15" s="12" t="s">
        <v>288</v>
      </c>
      <c r="B15" s="12" t="s">
        <v>289</v>
      </c>
      <c r="C15" s="12" t="s">
        <v>290</v>
      </c>
      <c r="D15" s="12" t="s">
        <v>291</v>
      </c>
      <c r="E15" s="12" t="s">
        <v>232</v>
      </c>
      <c r="F15" s="15" t="s">
        <v>226</v>
      </c>
      <c r="G15" s="15" t="s">
        <v>292</v>
      </c>
      <c r="H15" s="15" t="s">
        <v>293</v>
      </c>
      <c r="I15" s="15" t="s">
        <v>294</v>
      </c>
      <c r="J15" s="15" t="s">
        <v>204</v>
      </c>
      <c r="P15"/>
    </row>
    <row r="16" spans="1:16" ht="15.6">
      <c r="A16" s="63" t="s">
        <v>304</v>
      </c>
      <c r="B16" s="53" t="s">
        <v>296</v>
      </c>
      <c r="C16" s="54" t="s">
        <v>10</v>
      </c>
      <c r="D16" s="55">
        <v>1</v>
      </c>
      <c r="E16" t="s">
        <v>17</v>
      </c>
      <c r="F16">
        <v>24</v>
      </c>
      <c r="G16" s="63">
        <v>110</v>
      </c>
      <c r="H16">
        <v>41</v>
      </c>
      <c r="I16" t="s">
        <v>297</v>
      </c>
      <c r="J16" t="s">
        <v>297</v>
      </c>
      <c r="P16"/>
    </row>
    <row r="17" spans="1:16" ht="15.6">
      <c r="A17" s="63" t="s">
        <v>304</v>
      </c>
      <c r="B17" s="53" t="s">
        <v>296</v>
      </c>
      <c r="C17" s="54" t="s">
        <v>18</v>
      </c>
      <c r="D17" s="55">
        <v>2</v>
      </c>
      <c r="E17" t="s">
        <v>17</v>
      </c>
      <c r="F17">
        <v>19</v>
      </c>
      <c r="G17" s="63">
        <v>49</v>
      </c>
      <c r="H17">
        <v>23</v>
      </c>
      <c r="I17" t="s">
        <v>299</v>
      </c>
      <c r="J17" t="s">
        <v>297</v>
      </c>
      <c r="K17" t="s">
        <v>305</v>
      </c>
      <c r="P17"/>
    </row>
    <row r="18" spans="1:16" ht="15.6">
      <c r="A18" s="63" t="s">
        <v>295</v>
      </c>
      <c r="B18" s="53" t="s">
        <v>296</v>
      </c>
      <c r="C18" s="54">
        <v>544</v>
      </c>
      <c r="D18" s="55">
        <v>3</v>
      </c>
      <c r="E18" t="s">
        <v>17</v>
      </c>
      <c r="F18">
        <v>35</v>
      </c>
      <c r="G18" s="63">
        <v>104</v>
      </c>
      <c r="H18">
        <v>30</v>
      </c>
      <c r="I18" t="s">
        <v>297</v>
      </c>
      <c r="P18"/>
    </row>
    <row r="19" spans="1:16" ht="15.6">
      <c r="A19" s="59" t="s">
        <v>298</v>
      </c>
      <c r="B19" s="53" t="s">
        <v>296</v>
      </c>
      <c r="C19" s="54">
        <v>545</v>
      </c>
      <c r="D19" s="55">
        <v>4</v>
      </c>
      <c r="E19" t="s">
        <v>17</v>
      </c>
      <c r="F19">
        <v>17</v>
      </c>
      <c r="G19" s="59">
        <v>87</v>
      </c>
      <c r="H19">
        <v>23</v>
      </c>
      <c r="I19" s="39" t="s">
        <v>306</v>
      </c>
      <c r="P19"/>
    </row>
    <row r="20" spans="1:16" ht="15.6">
      <c r="A20" s="59" t="s">
        <v>298</v>
      </c>
      <c r="B20" s="53" t="s">
        <v>296</v>
      </c>
      <c r="C20" s="54" t="s">
        <v>25</v>
      </c>
      <c r="D20" s="55">
        <v>5</v>
      </c>
      <c r="E20" t="s">
        <v>17</v>
      </c>
      <c r="F20">
        <v>18</v>
      </c>
      <c r="G20" s="59">
        <v>46</v>
      </c>
      <c r="H20">
        <v>7</v>
      </c>
      <c r="I20" t="s">
        <v>297</v>
      </c>
      <c r="K20" t="s">
        <v>307</v>
      </c>
      <c r="P20"/>
    </row>
    <row r="21" spans="1:16" ht="15.6">
      <c r="A21" s="63" t="s">
        <v>304</v>
      </c>
      <c r="B21" s="53" t="s">
        <v>296</v>
      </c>
      <c r="C21" s="54" t="s">
        <v>30</v>
      </c>
      <c r="D21" s="55">
        <v>6</v>
      </c>
      <c r="E21" t="s">
        <v>17</v>
      </c>
      <c r="F21">
        <v>18</v>
      </c>
      <c r="G21" s="63">
        <v>114</v>
      </c>
      <c r="H21">
        <v>3</v>
      </c>
      <c r="I21" t="s">
        <v>297</v>
      </c>
      <c r="P21"/>
    </row>
    <row r="22" spans="1:16">
      <c r="A22" t="s">
        <v>301</v>
      </c>
      <c r="B22" s="12" t="s">
        <v>302</v>
      </c>
      <c r="C22" s="56" t="s">
        <v>54</v>
      </c>
      <c r="D22" s="57">
        <v>15</v>
      </c>
      <c r="E22" t="s">
        <v>17</v>
      </c>
      <c r="F22">
        <v>20</v>
      </c>
      <c r="G22">
        <v>48</v>
      </c>
      <c r="H22">
        <v>32</v>
      </c>
      <c r="I22" t="s">
        <v>297</v>
      </c>
      <c r="J22" t="s">
        <v>297</v>
      </c>
      <c r="P22"/>
    </row>
    <row r="23" spans="1:16">
      <c r="A23" t="s">
        <v>301</v>
      </c>
      <c r="B23" s="12" t="s">
        <v>302</v>
      </c>
      <c r="C23" s="56" t="s">
        <v>55</v>
      </c>
      <c r="D23" s="57">
        <v>16</v>
      </c>
      <c r="E23" t="s">
        <v>17</v>
      </c>
      <c r="F23">
        <v>37</v>
      </c>
      <c r="G23">
        <v>95</v>
      </c>
      <c r="H23">
        <v>14</v>
      </c>
      <c r="I23" t="s">
        <v>297</v>
      </c>
      <c r="J23" t="s">
        <v>297</v>
      </c>
      <c r="P23"/>
    </row>
    <row r="24" spans="1:16">
      <c r="P24"/>
    </row>
    <row r="25" spans="1:16">
      <c r="P25"/>
    </row>
    <row r="26" spans="1:16">
      <c r="C26" t="s">
        <v>308</v>
      </c>
      <c r="P26"/>
    </row>
    <row r="27" spans="1:16">
      <c r="C27" t="s">
        <v>211</v>
      </c>
      <c r="D27" s="14">
        <v>44273</v>
      </c>
      <c r="E27" t="s">
        <v>287</v>
      </c>
      <c r="P27"/>
    </row>
    <row r="28" spans="1:16">
      <c r="A28" s="12" t="s">
        <v>288</v>
      </c>
      <c r="B28" s="12" t="s">
        <v>289</v>
      </c>
      <c r="C28" s="12" t="s">
        <v>290</v>
      </c>
      <c r="D28" s="12" t="s">
        <v>291</v>
      </c>
      <c r="E28" s="12" t="s">
        <v>232</v>
      </c>
      <c r="F28" s="15" t="s">
        <v>226</v>
      </c>
      <c r="G28" s="15" t="s">
        <v>292</v>
      </c>
      <c r="H28" s="15" t="s">
        <v>293</v>
      </c>
      <c r="I28" s="15" t="s">
        <v>294</v>
      </c>
      <c r="J28" s="15" t="s">
        <v>204</v>
      </c>
      <c r="P28"/>
    </row>
    <row r="29" spans="1:16">
      <c r="A29" t="s">
        <v>301</v>
      </c>
      <c r="B29" s="12" t="s">
        <v>309</v>
      </c>
      <c r="C29" s="56" t="s">
        <v>63</v>
      </c>
      <c r="D29" s="57">
        <v>3</v>
      </c>
      <c r="E29" t="s">
        <v>17</v>
      </c>
      <c r="F29">
        <v>11</v>
      </c>
      <c r="G29">
        <v>22</v>
      </c>
      <c r="H29">
        <v>4</v>
      </c>
      <c r="I29" t="s">
        <v>297</v>
      </c>
      <c r="J29" t="s">
        <v>297</v>
      </c>
      <c r="P29"/>
    </row>
    <row r="30" spans="1:16">
      <c r="A30" t="s">
        <v>301</v>
      </c>
      <c r="B30" s="12" t="s">
        <v>309</v>
      </c>
      <c r="C30" s="56" t="s">
        <v>90</v>
      </c>
      <c r="D30" s="57">
        <v>15</v>
      </c>
      <c r="E30" t="s">
        <v>17</v>
      </c>
      <c r="F30">
        <v>14</v>
      </c>
      <c r="G30">
        <v>42</v>
      </c>
      <c r="H30">
        <v>23</v>
      </c>
      <c r="I30" t="s">
        <v>297</v>
      </c>
      <c r="J30" t="s">
        <v>297</v>
      </c>
      <c r="K30" t="s">
        <v>310</v>
      </c>
      <c r="P30"/>
    </row>
    <row r="31" spans="1:16">
      <c r="P31"/>
    </row>
    <row r="32" spans="1:16">
      <c r="P32"/>
    </row>
    <row r="33" spans="1:16">
      <c r="C33" t="s">
        <v>303</v>
      </c>
      <c r="D33" s="14">
        <v>44305</v>
      </c>
      <c r="E33" t="s">
        <v>287</v>
      </c>
      <c r="P33"/>
    </row>
    <row r="34" spans="1:16">
      <c r="A34" s="12" t="s">
        <v>288</v>
      </c>
      <c r="B34" s="12" t="s">
        <v>289</v>
      </c>
      <c r="C34" s="12" t="s">
        <v>290</v>
      </c>
      <c r="D34" s="12" t="s">
        <v>291</v>
      </c>
      <c r="E34" s="12" t="s">
        <v>232</v>
      </c>
      <c r="F34" s="15" t="s">
        <v>226</v>
      </c>
      <c r="G34" s="15" t="s">
        <v>292</v>
      </c>
      <c r="H34" s="15" t="s">
        <v>293</v>
      </c>
      <c r="I34" s="15" t="s">
        <v>294</v>
      </c>
      <c r="J34" s="15" t="s">
        <v>204</v>
      </c>
      <c r="P34"/>
    </row>
    <row r="35" spans="1:16">
      <c r="A35" t="s">
        <v>301</v>
      </c>
      <c r="B35" s="12" t="s">
        <v>309</v>
      </c>
      <c r="C35" s="56" t="s">
        <v>63</v>
      </c>
      <c r="D35" s="57">
        <v>3</v>
      </c>
      <c r="E35" t="s">
        <v>17</v>
      </c>
      <c r="F35">
        <v>31</v>
      </c>
      <c r="G35">
        <v>72</v>
      </c>
      <c r="H35">
        <v>34</v>
      </c>
      <c r="I35" t="s">
        <v>297</v>
      </c>
      <c r="J35" t="s">
        <v>297</v>
      </c>
      <c r="P35"/>
    </row>
    <row r="36" spans="1:16">
      <c r="P36"/>
    </row>
    <row r="37" spans="1:16">
      <c r="P37"/>
    </row>
    <row r="38" spans="1:16">
      <c r="C38" t="s">
        <v>311</v>
      </c>
      <c r="P38"/>
    </row>
    <row r="39" spans="1:16">
      <c r="C39" t="s">
        <v>211</v>
      </c>
      <c r="D39" s="14">
        <v>44309</v>
      </c>
      <c r="E39" t="s">
        <v>287</v>
      </c>
      <c r="P39"/>
    </row>
    <row r="40" spans="1:16">
      <c r="A40" s="12" t="s">
        <v>288</v>
      </c>
      <c r="B40" s="12" t="s">
        <v>289</v>
      </c>
      <c r="C40" s="12" t="s">
        <v>290</v>
      </c>
      <c r="D40" s="12" t="s">
        <v>291</v>
      </c>
      <c r="E40" s="12" t="s">
        <v>232</v>
      </c>
      <c r="F40" s="15" t="s">
        <v>226</v>
      </c>
      <c r="G40" s="15" t="s">
        <v>292</v>
      </c>
      <c r="H40" s="15" t="s">
        <v>293</v>
      </c>
      <c r="I40" s="15" t="s">
        <v>294</v>
      </c>
      <c r="J40" s="15" t="s">
        <v>204</v>
      </c>
      <c r="P40"/>
    </row>
    <row r="41" spans="1:16" ht="15.6">
      <c r="A41" s="63" t="s">
        <v>304</v>
      </c>
      <c r="B41" s="12" t="s">
        <v>312</v>
      </c>
      <c r="C41" s="54" t="s">
        <v>108</v>
      </c>
      <c r="D41" s="55">
        <v>5</v>
      </c>
      <c r="E41" t="s">
        <v>17</v>
      </c>
      <c r="F41">
        <v>6</v>
      </c>
      <c r="G41" s="63">
        <v>33</v>
      </c>
      <c r="H41">
        <v>0</v>
      </c>
      <c r="I41" t="s">
        <v>297</v>
      </c>
      <c r="J41" t="s">
        <v>297</v>
      </c>
      <c r="P41"/>
    </row>
    <row r="42" spans="1:16" ht="15.6">
      <c r="A42" s="121" t="s">
        <v>313</v>
      </c>
      <c r="B42" s="12" t="s">
        <v>312</v>
      </c>
      <c r="C42" s="54" t="s">
        <v>314</v>
      </c>
      <c r="D42" s="55">
        <v>14</v>
      </c>
      <c r="E42" t="s">
        <v>17</v>
      </c>
      <c r="F42">
        <v>7</v>
      </c>
      <c r="G42" s="121">
        <v>16</v>
      </c>
      <c r="H42">
        <v>3</v>
      </c>
      <c r="I42" t="s">
        <v>297</v>
      </c>
      <c r="J42" t="s">
        <v>297</v>
      </c>
      <c r="P42"/>
    </row>
    <row r="43" spans="1:16">
      <c r="P43"/>
    </row>
    <row r="44" spans="1:16">
      <c r="P44"/>
    </row>
    <row r="45" spans="1:16">
      <c r="C45" t="s">
        <v>303</v>
      </c>
      <c r="D45" s="14">
        <v>44340</v>
      </c>
      <c r="E45" t="s">
        <v>287</v>
      </c>
      <c r="P45"/>
    </row>
    <row r="46" spans="1:16">
      <c r="A46" s="12" t="s">
        <v>288</v>
      </c>
      <c r="B46" s="12" t="s">
        <v>289</v>
      </c>
      <c r="C46" s="12" t="s">
        <v>290</v>
      </c>
      <c r="D46" s="12" t="s">
        <v>291</v>
      </c>
      <c r="E46" s="12" t="s">
        <v>232</v>
      </c>
      <c r="F46" s="15" t="s">
        <v>226</v>
      </c>
      <c r="G46" s="15" t="s">
        <v>292</v>
      </c>
      <c r="H46" s="15" t="s">
        <v>293</v>
      </c>
      <c r="I46" s="15" t="s">
        <v>294</v>
      </c>
      <c r="J46" s="15" t="s">
        <v>204</v>
      </c>
      <c r="P46"/>
    </row>
    <row r="47" spans="1:16" ht="15.6">
      <c r="A47" s="121" t="s">
        <v>315</v>
      </c>
      <c r="B47" s="12" t="s">
        <v>312</v>
      </c>
      <c r="C47" s="54" t="s">
        <v>108</v>
      </c>
      <c r="D47" s="55">
        <v>5</v>
      </c>
      <c r="E47" t="s">
        <v>17</v>
      </c>
      <c r="F47">
        <v>20</v>
      </c>
      <c r="G47" s="121">
        <v>50</v>
      </c>
      <c r="H47">
        <v>4</v>
      </c>
      <c r="I47" t="s">
        <v>297</v>
      </c>
      <c r="J47" t="s">
        <v>297</v>
      </c>
      <c r="P47"/>
    </row>
    <row r="48" spans="1:16" ht="15.6">
      <c r="A48" s="121" t="s">
        <v>315</v>
      </c>
      <c r="B48" s="12" t="s">
        <v>312</v>
      </c>
      <c r="C48" s="54" t="s">
        <v>314</v>
      </c>
      <c r="D48" s="55">
        <v>14</v>
      </c>
      <c r="E48" t="s">
        <v>17</v>
      </c>
      <c r="F48">
        <v>21</v>
      </c>
      <c r="G48" s="121">
        <v>64</v>
      </c>
      <c r="H48">
        <v>36</v>
      </c>
      <c r="I48" t="s">
        <v>297</v>
      </c>
      <c r="J48" t="s">
        <v>297</v>
      </c>
      <c r="P48"/>
    </row>
    <row r="49" spans="1:16">
      <c r="P49"/>
    </row>
    <row r="50" spans="1:16">
      <c r="P50"/>
    </row>
    <row r="51" spans="1:16">
      <c r="C51" t="s">
        <v>316</v>
      </c>
      <c r="P51"/>
    </row>
    <row r="52" spans="1:16">
      <c r="C52" t="s">
        <v>211</v>
      </c>
      <c r="D52" s="14">
        <v>44344</v>
      </c>
      <c r="E52" t="s">
        <v>287</v>
      </c>
      <c r="P52"/>
    </row>
    <row r="53" spans="1:16">
      <c r="A53" s="12" t="s">
        <v>288</v>
      </c>
      <c r="B53" s="12" t="s">
        <v>289</v>
      </c>
      <c r="C53" s="12" t="s">
        <v>290</v>
      </c>
      <c r="D53" s="12" t="s">
        <v>291</v>
      </c>
      <c r="E53" s="12" t="s">
        <v>232</v>
      </c>
      <c r="F53" s="15" t="s">
        <v>226</v>
      </c>
      <c r="G53" s="15" t="s">
        <v>292</v>
      </c>
      <c r="H53" s="15" t="s">
        <v>293</v>
      </c>
      <c r="I53" s="15" t="s">
        <v>294</v>
      </c>
      <c r="J53" s="15" t="s">
        <v>204</v>
      </c>
      <c r="P53"/>
    </row>
    <row r="54" spans="1:16" ht="15.6">
      <c r="A54" t="s">
        <v>301</v>
      </c>
      <c r="B54" s="12" t="s">
        <v>309</v>
      </c>
      <c r="C54" s="136" t="s">
        <v>131</v>
      </c>
      <c r="D54" s="137">
        <v>1</v>
      </c>
      <c r="E54" t="s">
        <v>17</v>
      </c>
      <c r="F54">
        <v>23</v>
      </c>
      <c r="G54">
        <v>140</v>
      </c>
      <c r="H54">
        <v>18</v>
      </c>
      <c r="I54" t="s">
        <v>297</v>
      </c>
      <c r="J54" t="s">
        <v>297</v>
      </c>
      <c r="P54"/>
    </row>
    <row r="55" spans="1:16" ht="15.6">
      <c r="A55" t="s">
        <v>301</v>
      </c>
      <c r="B55" s="12" t="s">
        <v>302</v>
      </c>
      <c r="C55" s="136" t="s">
        <v>317</v>
      </c>
      <c r="D55" s="137">
        <v>14</v>
      </c>
      <c r="E55" t="s">
        <v>17</v>
      </c>
      <c r="F55">
        <v>4</v>
      </c>
      <c r="G55">
        <v>6</v>
      </c>
      <c r="H55">
        <v>1</v>
      </c>
      <c r="I55" t="s">
        <v>297</v>
      </c>
      <c r="J55" t="s">
        <v>297</v>
      </c>
      <c r="P55"/>
    </row>
    <row r="56" spans="1:16">
      <c r="P56"/>
    </row>
    <row r="57" spans="1:16">
      <c r="P57"/>
    </row>
    <row r="58" spans="1:16">
      <c r="C58" t="s">
        <v>303</v>
      </c>
      <c r="D58" s="14">
        <v>44376</v>
      </c>
      <c r="E58" t="s">
        <v>287</v>
      </c>
      <c r="P58"/>
    </row>
    <row r="59" spans="1:16">
      <c r="A59" s="12" t="s">
        <v>288</v>
      </c>
      <c r="B59" s="12" t="s">
        <v>289</v>
      </c>
      <c r="C59" s="12" t="s">
        <v>290</v>
      </c>
      <c r="D59" s="12" t="s">
        <v>291</v>
      </c>
      <c r="E59" s="12" t="s">
        <v>232</v>
      </c>
      <c r="F59" s="15" t="s">
        <v>226</v>
      </c>
      <c r="G59" s="15" t="s">
        <v>292</v>
      </c>
      <c r="H59" s="15" t="s">
        <v>293</v>
      </c>
      <c r="I59" s="15" t="s">
        <v>294</v>
      </c>
      <c r="J59" s="15" t="s">
        <v>204</v>
      </c>
      <c r="P59"/>
    </row>
    <row r="60" spans="1:16" ht="15.6">
      <c r="A60" t="s">
        <v>301</v>
      </c>
      <c r="B60" s="12" t="s">
        <v>309</v>
      </c>
      <c r="C60" s="136" t="s">
        <v>131</v>
      </c>
      <c r="D60" s="137">
        <v>1</v>
      </c>
      <c r="E60" t="s">
        <v>17</v>
      </c>
      <c r="F60">
        <v>22</v>
      </c>
      <c r="G60">
        <v>68</v>
      </c>
      <c r="H60">
        <v>7</v>
      </c>
      <c r="I60" t="s">
        <v>297</v>
      </c>
      <c r="J60" t="s">
        <v>318</v>
      </c>
      <c r="P60"/>
    </row>
    <row r="61" spans="1:16" ht="15.6">
      <c r="A61" t="s">
        <v>301</v>
      </c>
      <c r="B61" s="12" t="s">
        <v>302</v>
      </c>
      <c r="C61" s="136" t="s">
        <v>317</v>
      </c>
      <c r="D61" s="137">
        <v>14</v>
      </c>
      <c r="E61" t="s">
        <v>17</v>
      </c>
      <c r="F61">
        <v>21</v>
      </c>
      <c r="G61">
        <v>57</v>
      </c>
      <c r="H61">
        <v>35</v>
      </c>
      <c r="I61" t="s">
        <v>297</v>
      </c>
      <c r="J61" t="s">
        <v>297</v>
      </c>
      <c r="K61" t="s">
        <v>319</v>
      </c>
      <c r="P61"/>
    </row>
    <row r="62" spans="1:16">
      <c r="P62"/>
    </row>
    <row r="63" spans="1:16">
      <c r="P63"/>
    </row>
    <row r="64" spans="1:16">
      <c r="C64" t="s">
        <v>320</v>
      </c>
      <c r="P64"/>
    </row>
    <row r="65" spans="1:16">
      <c r="C65" t="s">
        <v>211</v>
      </c>
      <c r="D65" s="14">
        <v>44365</v>
      </c>
      <c r="E65" t="s">
        <v>287</v>
      </c>
      <c r="P65"/>
    </row>
    <row r="66" spans="1:16">
      <c r="A66" s="12" t="s">
        <v>288</v>
      </c>
      <c r="B66" s="12" t="s">
        <v>289</v>
      </c>
      <c r="C66" s="12" t="s">
        <v>290</v>
      </c>
      <c r="D66" s="12" t="s">
        <v>291</v>
      </c>
      <c r="E66" s="12" t="s">
        <v>232</v>
      </c>
      <c r="F66" s="15" t="s">
        <v>226</v>
      </c>
      <c r="G66" s="15" t="s">
        <v>292</v>
      </c>
      <c r="H66" s="15" t="s">
        <v>293</v>
      </c>
      <c r="I66" s="15" t="s">
        <v>294</v>
      </c>
      <c r="J66" s="15" t="s">
        <v>204</v>
      </c>
      <c r="P66"/>
    </row>
    <row r="67" spans="1:16" ht="15.6">
      <c r="A67" t="s">
        <v>300</v>
      </c>
      <c r="B67" s="12" t="s">
        <v>312</v>
      </c>
      <c r="C67" s="54" t="s">
        <v>183</v>
      </c>
      <c r="D67" s="55">
        <v>7</v>
      </c>
      <c r="E67" t="s">
        <v>17</v>
      </c>
      <c r="F67">
        <v>14</v>
      </c>
      <c r="G67">
        <v>38</v>
      </c>
      <c r="H67">
        <v>20</v>
      </c>
      <c r="I67" t="s">
        <v>297</v>
      </c>
      <c r="J67" t="s">
        <v>297</v>
      </c>
      <c r="P67"/>
    </row>
    <row r="68" spans="1:16" ht="15.6">
      <c r="A68" t="s">
        <v>304</v>
      </c>
      <c r="B68" s="12" t="s">
        <v>312</v>
      </c>
      <c r="C68" s="54" t="s">
        <v>192</v>
      </c>
      <c r="D68" s="55">
        <v>10</v>
      </c>
      <c r="E68" t="s">
        <v>17</v>
      </c>
      <c r="F68">
        <v>11</v>
      </c>
      <c r="G68">
        <v>20</v>
      </c>
      <c r="H68">
        <v>2</v>
      </c>
      <c r="I68" t="s">
        <v>297</v>
      </c>
      <c r="J68" t="s">
        <v>297</v>
      </c>
      <c r="P68"/>
    </row>
    <row r="69" spans="1:16">
      <c r="P69"/>
    </row>
    <row r="70" spans="1:16">
      <c r="P70"/>
    </row>
    <row r="71" spans="1:16">
      <c r="C71" t="s">
        <v>303</v>
      </c>
      <c r="D71" s="14">
        <v>44397</v>
      </c>
      <c r="E71" t="s">
        <v>287</v>
      </c>
      <c r="P71"/>
    </row>
    <row r="72" spans="1:16">
      <c r="A72" s="12" t="s">
        <v>288</v>
      </c>
      <c r="B72" s="12" t="s">
        <v>289</v>
      </c>
      <c r="C72" s="12" t="s">
        <v>290</v>
      </c>
      <c r="D72" s="12" t="s">
        <v>291</v>
      </c>
      <c r="E72" s="12" t="s">
        <v>232</v>
      </c>
      <c r="F72" s="15" t="s">
        <v>226</v>
      </c>
      <c r="G72" s="15" t="s">
        <v>292</v>
      </c>
      <c r="H72" s="15" t="s">
        <v>293</v>
      </c>
      <c r="I72" s="15" t="s">
        <v>294</v>
      </c>
      <c r="J72" s="15" t="s">
        <v>204</v>
      </c>
      <c r="P72"/>
    </row>
    <row r="73" spans="1:16" ht="15.6">
      <c r="A73" t="s">
        <v>298</v>
      </c>
      <c r="B73" s="12" t="s">
        <v>312</v>
      </c>
      <c r="C73" s="54" t="s">
        <v>183</v>
      </c>
      <c r="D73" s="55">
        <v>7</v>
      </c>
      <c r="E73" t="s">
        <v>17</v>
      </c>
      <c r="F73">
        <v>19</v>
      </c>
      <c r="G73">
        <v>45</v>
      </c>
      <c r="H73">
        <v>2</v>
      </c>
      <c r="I73" t="s">
        <v>297</v>
      </c>
      <c r="J73" t="s">
        <v>297</v>
      </c>
      <c r="K73" t="s">
        <v>321</v>
      </c>
      <c r="P73"/>
    </row>
    <row r="74" spans="1:16" ht="15.6">
      <c r="A74" t="s">
        <v>298</v>
      </c>
      <c r="B74" s="12" t="s">
        <v>312</v>
      </c>
      <c r="C74" s="54" t="s">
        <v>192</v>
      </c>
      <c r="D74" s="55">
        <v>10</v>
      </c>
      <c r="E74" t="s">
        <v>17</v>
      </c>
      <c r="F74">
        <v>29</v>
      </c>
      <c r="G74">
        <v>68</v>
      </c>
      <c r="H74">
        <v>29</v>
      </c>
      <c r="I74" t="s">
        <v>297</v>
      </c>
      <c r="J74" t="s">
        <v>297</v>
      </c>
      <c r="P74"/>
    </row>
    <row r="75" spans="1:16">
      <c r="P75"/>
    </row>
    <row r="76" spans="1:16">
      <c r="P76"/>
    </row>
    <row r="77" spans="1:16">
      <c r="P77"/>
    </row>
    <row r="78" spans="1:16">
      <c r="P78"/>
    </row>
    <row r="79" spans="1:16">
      <c r="P79"/>
    </row>
    <row r="80" spans="1:16">
      <c r="P80"/>
    </row>
    <row r="81" spans="16:16">
      <c r="P81"/>
    </row>
    <row r="82" spans="16:16">
      <c r="P82"/>
    </row>
    <row r="83" spans="16:16">
      <c r="P83"/>
    </row>
    <row r="84" spans="16:16">
      <c r="P84"/>
    </row>
    <row r="85" spans="16:16">
      <c r="P85"/>
    </row>
    <row r="86" spans="16:16">
      <c r="P86"/>
    </row>
    <row r="87" spans="16:16">
      <c r="P87"/>
    </row>
    <row r="88" spans="16:16">
      <c r="P88"/>
    </row>
    <row r="89" spans="16:16">
      <c r="P89"/>
    </row>
    <row r="90" spans="16:16">
      <c r="P90"/>
    </row>
    <row r="91" spans="16:16">
      <c r="P91"/>
    </row>
    <row r="92" spans="16:16">
      <c r="P92"/>
    </row>
    <row r="93" spans="16:16">
      <c r="P93"/>
    </row>
    <row r="94" spans="16:16">
      <c r="P94"/>
    </row>
    <row r="95" spans="16:16">
      <c r="P95"/>
    </row>
    <row r="96" spans="16:16">
      <c r="P96"/>
    </row>
    <row r="97" spans="16:16">
      <c r="P97"/>
    </row>
    <row r="98" spans="16:16">
      <c r="P98"/>
    </row>
    <row r="99" spans="16:16">
      <c r="P99"/>
    </row>
    <row r="100" spans="16:16">
      <c r="P100"/>
    </row>
    <row r="101" spans="16:16">
      <c r="P101"/>
    </row>
    <row r="102" spans="16:16">
      <c r="P102"/>
    </row>
    <row r="103" spans="16:16">
      <c r="P103"/>
    </row>
    <row r="104" spans="16:16">
      <c r="P104"/>
    </row>
    <row r="105" spans="16:16">
      <c r="P105"/>
    </row>
    <row r="106" spans="16:16">
      <c r="P106"/>
    </row>
    <row r="107" spans="16:16">
      <c r="P107"/>
    </row>
    <row r="108" spans="16:16">
      <c r="P108"/>
    </row>
    <row r="109" spans="16:16">
      <c r="P109"/>
    </row>
    <row r="110" spans="16:16">
      <c r="P110"/>
    </row>
    <row r="111" spans="16:16">
      <c r="P111"/>
    </row>
    <row r="112" spans="16:16">
      <c r="P112"/>
    </row>
    <row r="113" spans="16:16">
      <c r="P113"/>
    </row>
    <row r="114" spans="16:16">
      <c r="P114"/>
    </row>
    <row r="115" spans="16:16">
      <c r="P115"/>
    </row>
    <row r="116" spans="16:16">
      <c r="P116"/>
    </row>
    <row r="117" spans="16:16">
      <c r="P117"/>
    </row>
    <row r="118" spans="16:16">
      <c r="P118"/>
    </row>
    <row r="119" spans="16:16">
      <c r="P119"/>
    </row>
    <row r="120" spans="16:16">
      <c r="P120"/>
    </row>
    <row r="121" spans="16:16">
      <c r="P121"/>
    </row>
    <row r="122" spans="16:16">
      <c r="P122"/>
    </row>
    <row r="123" spans="16:16">
      <c r="P123"/>
    </row>
    <row r="124" spans="16:16">
      <c r="P124"/>
    </row>
    <row r="125" spans="16:16">
      <c r="P125"/>
    </row>
    <row r="126" spans="16:16">
      <c r="P126"/>
    </row>
    <row r="127" spans="16:16">
      <c r="P127"/>
    </row>
    <row r="128" spans="16:16">
      <c r="P128"/>
    </row>
    <row r="129" spans="16:16">
      <c r="P129"/>
    </row>
    <row r="130" spans="16:16">
      <c r="P130"/>
    </row>
    <row r="131" spans="16:16">
      <c r="P131"/>
    </row>
    <row r="132" spans="16:16">
      <c r="P132"/>
    </row>
    <row r="133" spans="16:16">
      <c r="P133"/>
    </row>
    <row r="134" spans="16:16">
      <c r="P134"/>
    </row>
    <row r="135" spans="16:16">
      <c r="P135"/>
    </row>
    <row r="136" spans="16:16">
      <c r="P136"/>
    </row>
    <row r="137" spans="16:16">
      <c r="P137"/>
    </row>
    <row r="138" spans="16:16">
      <c r="P138"/>
    </row>
    <row r="139" spans="16:16">
      <c r="P139"/>
    </row>
    <row r="140" spans="16:16">
      <c r="P140"/>
    </row>
    <row r="141" spans="16:16">
      <c r="P141"/>
    </row>
    <row r="142" spans="16:16">
      <c r="P142"/>
    </row>
    <row r="143" spans="16:16">
      <c r="P143"/>
    </row>
    <row r="144" spans="16:16">
      <c r="P144"/>
    </row>
    <row r="145" spans="16:16">
      <c r="P145"/>
    </row>
    <row r="146" spans="16:16">
      <c r="P146"/>
    </row>
    <row r="147" spans="16:16">
      <c r="P147"/>
    </row>
    <row r="148" spans="16:16">
      <c r="P148"/>
    </row>
    <row r="149" spans="16:16">
      <c r="P149"/>
    </row>
    <row r="150" spans="16:16">
      <c r="P150"/>
    </row>
    <row r="151" spans="16:16">
      <c r="P151"/>
    </row>
    <row r="152" spans="16:16">
      <c r="P152"/>
    </row>
    <row r="153" spans="16:16">
      <c r="P153"/>
    </row>
    <row r="154" spans="16:16">
      <c r="P154"/>
    </row>
    <row r="155" spans="16:16">
      <c r="P155"/>
    </row>
    <row r="156" spans="16:16">
      <c r="P156"/>
    </row>
    <row r="157" spans="16:16">
      <c r="P157"/>
    </row>
    <row r="158" spans="16:16">
      <c r="P158"/>
    </row>
    <row r="159" spans="16:16">
      <c r="P159"/>
    </row>
    <row r="160" spans="16:16">
      <c r="P160"/>
    </row>
    <row r="161" spans="16:16">
      <c r="P161"/>
    </row>
    <row r="162" spans="16:16">
      <c r="P162"/>
    </row>
    <row r="163" spans="16:16">
      <c r="P163"/>
    </row>
    <row r="164" spans="16:16">
      <c r="P164"/>
    </row>
    <row r="165" spans="16:16">
      <c r="P165"/>
    </row>
    <row r="166" spans="16:16">
      <c r="P166"/>
    </row>
    <row r="167" spans="16:16">
      <c r="P167"/>
    </row>
    <row r="168" spans="16:16">
      <c r="P168"/>
    </row>
    <row r="169" spans="16:16">
      <c r="P169"/>
    </row>
    <row r="170" spans="16:16">
      <c r="P170"/>
    </row>
    <row r="171" spans="16:16">
      <c r="P171"/>
    </row>
    <row r="172" spans="16:16">
      <c r="P172"/>
    </row>
    <row r="173" spans="16:16">
      <c r="P173"/>
    </row>
    <row r="174" spans="16:16">
      <c r="P174"/>
    </row>
    <row r="175" spans="16:16">
      <c r="P175"/>
    </row>
    <row r="176" spans="16:16">
      <c r="P176"/>
    </row>
    <row r="177" spans="16:16">
      <c r="P177"/>
    </row>
    <row r="178" spans="16:16">
      <c r="P178"/>
    </row>
    <row r="179" spans="16:16">
      <c r="P179"/>
    </row>
    <row r="180" spans="16:16">
      <c r="P180"/>
    </row>
    <row r="181" spans="16:16">
      <c r="P181"/>
    </row>
    <row r="182" spans="16:16">
      <c r="P182"/>
    </row>
    <row r="183" spans="16:16">
      <c r="P183"/>
    </row>
    <row r="184" spans="16:16">
      <c r="P184"/>
    </row>
    <row r="185" spans="16:16">
      <c r="P185"/>
    </row>
    <row r="186" spans="16:16">
      <c r="P186"/>
    </row>
    <row r="187" spans="16:16">
      <c r="P187"/>
    </row>
    <row r="188" spans="16:16">
      <c r="P188"/>
    </row>
    <row r="189" spans="16:16">
      <c r="P189"/>
    </row>
    <row r="190" spans="16:16">
      <c r="P190"/>
    </row>
    <row r="191" spans="16:16">
      <c r="P191"/>
    </row>
    <row r="192" spans="16:16">
      <c r="P192"/>
    </row>
    <row r="193" spans="16:16">
      <c r="P193"/>
    </row>
    <row r="194" spans="16:16">
      <c r="P194"/>
    </row>
    <row r="195" spans="16:16">
      <c r="P195"/>
    </row>
    <row r="196" spans="16:16">
      <c r="P196"/>
    </row>
    <row r="197" spans="16:16">
      <c r="P197"/>
    </row>
    <row r="198" spans="16:16">
      <c r="P198"/>
    </row>
    <row r="199" spans="16:16">
      <c r="P199"/>
    </row>
    <row r="200" spans="16:16">
      <c r="P200"/>
    </row>
    <row r="201" spans="16:16">
      <c r="P201"/>
    </row>
    <row r="202" spans="16:16">
      <c r="P202"/>
    </row>
    <row r="203" spans="16:16">
      <c r="P203"/>
    </row>
    <row r="204" spans="16:16">
      <c r="P204"/>
    </row>
    <row r="205" spans="16:16">
      <c r="P205"/>
    </row>
    <row r="206" spans="16:16">
      <c r="P206"/>
    </row>
    <row r="207" spans="16:16">
      <c r="P207"/>
    </row>
    <row r="208" spans="16:16">
      <c r="P208"/>
    </row>
    <row r="209" spans="16:16">
      <c r="P209"/>
    </row>
    <row r="210" spans="16:16">
      <c r="P210"/>
    </row>
    <row r="211" spans="16:16">
      <c r="P211"/>
    </row>
    <row r="212" spans="16:16">
      <c r="P212"/>
    </row>
    <row r="213" spans="16:16">
      <c r="P213"/>
    </row>
    <row r="214" spans="16:16">
      <c r="P214"/>
    </row>
    <row r="215" spans="16:16">
      <c r="P215"/>
    </row>
    <row r="216" spans="16:16">
      <c r="P216"/>
    </row>
    <row r="217" spans="16:16">
      <c r="P217"/>
    </row>
    <row r="218" spans="16:16">
      <c r="P218"/>
    </row>
    <row r="219" spans="16:16">
      <c r="P219"/>
    </row>
    <row r="220" spans="16:16">
      <c r="P220"/>
    </row>
    <row r="221" spans="16:16">
      <c r="P221"/>
    </row>
    <row r="222" spans="16:16">
      <c r="P222"/>
    </row>
    <row r="223" spans="16:16">
      <c r="P223"/>
    </row>
    <row r="224" spans="16:16">
      <c r="P224"/>
    </row>
    <row r="225" spans="16:16">
      <c r="P225"/>
    </row>
    <row r="226" spans="16:16">
      <c r="P226"/>
    </row>
    <row r="227" spans="16:16">
      <c r="P227"/>
    </row>
    <row r="228" spans="16:16">
      <c r="P228"/>
    </row>
    <row r="229" spans="16:16">
      <c r="P229"/>
    </row>
    <row r="230" spans="16:16">
      <c r="P230"/>
    </row>
    <row r="231" spans="16:16">
      <c r="P231"/>
    </row>
    <row r="232" spans="16:16">
      <c r="P232"/>
    </row>
    <row r="233" spans="16:16">
      <c r="P233"/>
    </row>
    <row r="234" spans="16:16">
      <c r="P234"/>
    </row>
    <row r="235" spans="16:16">
      <c r="P235"/>
    </row>
    <row r="236" spans="16:16">
      <c r="P236"/>
    </row>
    <row r="237" spans="16:16">
      <c r="P237"/>
    </row>
    <row r="238" spans="16:16">
      <c r="P238"/>
    </row>
    <row r="239" spans="16:16">
      <c r="P239"/>
    </row>
    <row r="240" spans="16:16">
      <c r="P240"/>
    </row>
    <row r="241" spans="16:16">
      <c r="P241"/>
    </row>
    <row r="242" spans="16:16">
      <c r="P242"/>
    </row>
    <row r="243" spans="16:16">
      <c r="P243"/>
    </row>
    <row r="244" spans="16:16">
      <c r="P244"/>
    </row>
    <row r="245" spans="16:16">
      <c r="P245"/>
    </row>
    <row r="246" spans="16:16">
      <c r="P246"/>
    </row>
    <row r="247" spans="16:16">
      <c r="P247"/>
    </row>
    <row r="248" spans="16:16">
      <c r="P248"/>
    </row>
    <row r="249" spans="16:16">
      <c r="P249"/>
    </row>
    <row r="250" spans="16:16">
      <c r="P250"/>
    </row>
    <row r="251" spans="16:16">
      <c r="P251"/>
    </row>
    <row r="252" spans="16:16">
      <c r="P252"/>
    </row>
    <row r="253" spans="16:16">
      <c r="P253"/>
    </row>
    <row r="254" spans="16:16">
      <c r="P254"/>
    </row>
    <row r="255" spans="16:16">
      <c r="P255"/>
    </row>
    <row r="256" spans="16:16">
      <c r="P256"/>
    </row>
    <row r="257" spans="16:16">
      <c r="P257"/>
    </row>
    <row r="258" spans="16:16">
      <c r="P258"/>
    </row>
    <row r="259" spans="16:16">
      <c r="P259"/>
    </row>
    <row r="260" spans="16:16">
      <c r="P260"/>
    </row>
    <row r="261" spans="16:16">
      <c r="P261"/>
    </row>
    <row r="262" spans="16:16">
      <c r="P262"/>
    </row>
    <row r="263" spans="16:16">
      <c r="P263"/>
    </row>
    <row r="264" spans="16:16">
      <c r="P264"/>
    </row>
    <row r="265" spans="16:16">
      <c r="P265"/>
    </row>
    <row r="266" spans="16:16">
      <c r="P266"/>
    </row>
    <row r="267" spans="16:16">
      <c r="P267"/>
    </row>
    <row r="268" spans="16:16">
      <c r="P268"/>
    </row>
    <row r="269" spans="16:16">
      <c r="P269"/>
    </row>
    <row r="270" spans="16:16">
      <c r="P270"/>
    </row>
    <row r="271" spans="16:16">
      <c r="P271"/>
    </row>
    <row r="272" spans="16:16">
      <c r="P272"/>
    </row>
    <row r="273" spans="16:16">
      <c r="P273"/>
    </row>
    <row r="274" spans="16:16">
      <c r="P274"/>
    </row>
    <row r="275" spans="16:16">
      <c r="P275"/>
    </row>
    <row r="276" spans="16:16">
      <c r="P276"/>
    </row>
    <row r="277" spans="16:16">
      <c r="P277"/>
    </row>
    <row r="278" spans="16:16">
      <c r="P278"/>
    </row>
    <row r="279" spans="16:16">
      <c r="P279"/>
    </row>
    <row r="280" spans="16:16">
      <c r="P280"/>
    </row>
    <row r="281" spans="16:16">
      <c r="P281"/>
    </row>
    <row r="282" spans="16:16">
      <c r="P282"/>
    </row>
    <row r="283" spans="16:16">
      <c r="P283"/>
    </row>
    <row r="284" spans="16:16">
      <c r="P284"/>
    </row>
    <row r="285" spans="16:16">
      <c r="P285"/>
    </row>
    <row r="286" spans="16:16">
      <c r="P286"/>
    </row>
  </sheetData>
  <sortState xmlns:xlrd2="http://schemas.microsoft.com/office/spreadsheetml/2017/richdata2" ref="O35:U58">
    <sortCondition sortBy="cellColor" ref="O35:O58" dxfId="0"/>
  </sortState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215"/>
  <sheetViews>
    <sheetView topLeftCell="C185" zoomScale="60" zoomScaleNormal="60" workbookViewId="0">
      <selection activeCell="C224" sqref="C224"/>
    </sheetView>
  </sheetViews>
  <sheetFormatPr defaultColWidth="9.140625" defaultRowHeight="18"/>
  <cols>
    <col min="1" max="1" width="11" style="16" customWidth="1"/>
    <col min="2" max="2" width="6.85546875" style="38" customWidth="1"/>
    <col min="3" max="3" width="14.85546875" style="16" customWidth="1"/>
    <col min="4" max="4" width="17.85546875" style="16" customWidth="1"/>
    <col min="5" max="5" width="12" style="16" bestFit="1" customWidth="1"/>
    <col min="6" max="6" width="78.140625" style="16" customWidth="1"/>
    <col min="7" max="7" width="7.5703125" style="16" customWidth="1"/>
    <col min="8" max="8" width="10.42578125" style="16" bestFit="1" customWidth="1"/>
    <col min="9" max="9" width="13.28515625" style="16" bestFit="1" customWidth="1"/>
    <col min="10" max="10" width="47.28515625" style="16" customWidth="1"/>
    <col min="11" max="11" width="36.140625" style="16" customWidth="1"/>
    <col min="12" max="12" width="9.140625" style="16"/>
    <col min="13" max="13" width="17.5703125" style="16" bestFit="1" customWidth="1"/>
    <col min="14" max="14" width="7.5703125" style="16" bestFit="1" customWidth="1"/>
    <col min="15" max="15" width="12.5703125" style="16" bestFit="1" customWidth="1"/>
    <col min="16" max="16" width="17.42578125" style="16" customWidth="1"/>
    <col min="17" max="17" width="11.140625" style="16" bestFit="1" customWidth="1"/>
    <col min="18" max="18" width="72.140625" style="16" customWidth="1"/>
    <col min="19" max="19" width="7.85546875" style="16" customWidth="1"/>
    <col min="20" max="20" width="9.85546875" style="16" bestFit="1" customWidth="1"/>
    <col min="21" max="21" width="12.5703125" style="16" bestFit="1" customWidth="1"/>
    <col min="22" max="22" width="65.140625" style="16" customWidth="1"/>
    <col min="23" max="23" width="21.28515625" style="16" customWidth="1"/>
    <col min="24" max="16384" width="9.140625" style="16"/>
  </cols>
  <sheetData>
    <row r="1" spans="1:10">
      <c r="B1" s="16"/>
    </row>
    <row r="2" spans="1:10">
      <c r="B2" s="16"/>
    </row>
    <row r="3" spans="1:10" ht="21">
      <c r="A3" s="26" t="s">
        <v>322</v>
      </c>
      <c r="B3" s="37"/>
      <c r="C3" s="27"/>
      <c r="D3" s="27"/>
      <c r="E3" s="27" t="s">
        <v>211</v>
      </c>
      <c r="F3" s="28" t="s">
        <v>323</v>
      </c>
      <c r="G3" s="29"/>
      <c r="H3" s="29"/>
      <c r="I3" s="29"/>
      <c r="J3" s="29" t="s">
        <v>324</v>
      </c>
    </row>
    <row r="4" spans="1:10" ht="42">
      <c r="A4" s="30" t="s">
        <v>222</v>
      </c>
      <c r="B4" s="30" t="s">
        <v>223</v>
      </c>
      <c r="C4" s="31" t="s">
        <v>8</v>
      </c>
      <c r="D4" s="31" t="s">
        <v>325</v>
      </c>
      <c r="E4" s="32" t="s">
        <v>326</v>
      </c>
      <c r="F4" s="31" t="s">
        <v>327</v>
      </c>
      <c r="G4" s="33" t="s">
        <v>328</v>
      </c>
      <c r="H4" s="31" t="s">
        <v>329</v>
      </c>
      <c r="I4" s="31" t="s">
        <v>330</v>
      </c>
      <c r="J4" s="31" t="s">
        <v>331</v>
      </c>
    </row>
    <row r="5" spans="1:10" ht="21">
      <c r="A5" s="130" t="s">
        <v>167</v>
      </c>
      <c r="B5" s="116">
        <v>1</v>
      </c>
      <c r="C5" s="62" t="s">
        <v>12</v>
      </c>
      <c r="D5" s="117" t="s">
        <v>332</v>
      </c>
      <c r="E5" s="62"/>
      <c r="F5" s="34" t="s">
        <v>209</v>
      </c>
      <c r="G5" s="31"/>
      <c r="H5" s="31"/>
      <c r="I5" s="31"/>
      <c r="J5" s="31"/>
    </row>
    <row r="6" spans="1:10" ht="21">
      <c r="A6" s="131" t="s">
        <v>170</v>
      </c>
      <c r="B6" s="116">
        <v>2</v>
      </c>
      <c r="C6" s="62" t="s">
        <v>12</v>
      </c>
      <c r="D6" s="117" t="s">
        <v>332</v>
      </c>
      <c r="E6" s="62"/>
      <c r="F6" s="34" t="s">
        <v>209</v>
      </c>
      <c r="G6" s="31"/>
      <c r="H6" s="31"/>
      <c r="I6" s="31"/>
      <c r="J6" s="31"/>
    </row>
    <row r="7" spans="1:10" ht="21">
      <c r="A7" s="132" t="s">
        <v>173</v>
      </c>
      <c r="B7" s="118">
        <v>3</v>
      </c>
      <c r="C7" s="120" t="s">
        <v>224</v>
      </c>
      <c r="D7" s="133"/>
      <c r="E7" s="120"/>
      <c r="F7" s="34" t="s">
        <v>209</v>
      </c>
      <c r="G7" s="31"/>
      <c r="H7" s="31"/>
      <c r="I7" s="31"/>
      <c r="J7" s="31"/>
    </row>
    <row r="8" spans="1:10" ht="21">
      <c r="A8" s="134" t="s">
        <v>175</v>
      </c>
      <c r="B8" s="118">
        <v>4</v>
      </c>
      <c r="C8" s="120" t="s">
        <v>224</v>
      </c>
      <c r="D8" s="119"/>
      <c r="E8" s="120"/>
      <c r="F8" s="34" t="s">
        <v>209</v>
      </c>
      <c r="G8" s="31"/>
      <c r="H8" s="31"/>
      <c r="I8" s="31"/>
      <c r="J8" s="31"/>
    </row>
    <row r="9" spans="1:10" ht="21">
      <c r="A9" s="132" t="s">
        <v>178</v>
      </c>
      <c r="B9" s="118">
        <v>5</v>
      </c>
      <c r="C9" s="120" t="s">
        <v>224</v>
      </c>
      <c r="D9" s="119"/>
      <c r="E9" s="120"/>
      <c r="F9" s="34" t="s">
        <v>209</v>
      </c>
      <c r="G9" s="35"/>
      <c r="H9" s="35"/>
      <c r="I9" s="35"/>
      <c r="J9" s="35"/>
    </row>
    <row r="10" spans="1:10" ht="21">
      <c r="A10" s="130" t="s">
        <v>181</v>
      </c>
      <c r="B10" s="116">
        <v>6</v>
      </c>
      <c r="C10" s="62" t="s">
        <v>12</v>
      </c>
      <c r="D10" s="117" t="s">
        <v>333</v>
      </c>
      <c r="E10" s="62"/>
      <c r="F10" s="34" t="s">
        <v>209</v>
      </c>
      <c r="G10" s="31"/>
      <c r="H10" s="31"/>
      <c r="I10" s="31"/>
      <c r="J10" s="31"/>
    </row>
    <row r="11" spans="1:10" ht="21">
      <c r="A11" s="131" t="s">
        <v>183</v>
      </c>
      <c r="B11" s="116">
        <v>7</v>
      </c>
      <c r="C11" s="62" t="s">
        <v>12</v>
      </c>
      <c r="D11" s="117" t="s">
        <v>333</v>
      </c>
      <c r="E11" s="62"/>
      <c r="F11" s="34" t="s">
        <v>209</v>
      </c>
      <c r="G11" s="31"/>
      <c r="H11" s="31"/>
      <c r="I11" s="31"/>
      <c r="J11" s="31"/>
    </row>
    <row r="12" spans="1:10" ht="21">
      <c r="A12" s="130" t="s">
        <v>186</v>
      </c>
      <c r="B12" s="116">
        <v>8</v>
      </c>
      <c r="C12" s="62" t="s">
        <v>12</v>
      </c>
      <c r="D12" s="117" t="s">
        <v>332</v>
      </c>
      <c r="E12" s="62"/>
      <c r="F12" s="34" t="s">
        <v>209</v>
      </c>
      <c r="G12" s="31"/>
      <c r="H12" s="31"/>
      <c r="I12" s="31"/>
      <c r="J12" s="31"/>
    </row>
    <row r="13" spans="1:10" ht="21">
      <c r="A13" s="130" t="s">
        <v>189</v>
      </c>
      <c r="B13" s="116">
        <v>9</v>
      </c>
      <c r="C13" s="62" t="s">
        <v>12</v>
      </c>
      <c r="D13" s="135" t="s">
        <v>333</v>
      </c>
      <c r="E13" s="62"/>
      <c r="F13" s="34" t="s">
        <v>209</v>
      </c>
      <c r="G13" s="31"/>
      <c r="H13" s="31"/>
      <c r="I13" s="31"/>
      <c r="J13" s="31"/>
    </row>
    <row r="14" spans="1:10" ht="21">
      <c r="A14" s="130" t="s">
        <v>192</v>
      </c>
      <c r="B14" s="116">
        <v>10</v>
      </c>
      <c r="C14" s="62" t="s">
        <v>12</v>
      </c>
      <c r="D14" s="135" t="s">
        <v>332</v>
      </c>
      <c r="E14" s="62"/>
      <c r="F14" s="34" t="s">
        <v>209</v>
      </c>
      <c r="G14" s="31"/>
      <c r="H14" s="31"/>
      <c r="I14" s="31"/>
      <c r="J14" s="31"/>
    </row>
    <row r="15" spans="1:10" ht="21">
      <c r="A15" s="132" t="s">
        <v>194</v>
      </c>
      <c r="B15" s="118">
        <v>11</v>
      </c>
      <c r="C15" s="120" t="s">
        <v>224</v>
      </c>
      <c r="D15" s="133"/>
      <c r="E15" s="120"/>
      <c r="F15" s="34" t="s">
        <v>209</v>
      </c>
      <c r="G15" s="31"/>
      <c r="H15" s="31"/>
      <c r="I15" s="31"/>
      <c r="J15" s="31"/>
    </row>
    <row r="16" spans="1:10" ht="21">
      <c r="A16" s="132" t="s">
        <v>195</v>
      </c>
      <c r="B16" s="118">
        <v>12</v>
      </c>
      <c r="C16" s="120" t="s">
        <v>224</v>
      </c>
      <c r="D16" s="133"/>
      <c r="E16" s="120"/>
      <c r="F16" s="34" t="s">
        <v>209</v>
      </c>
      <c r="G16" s="31"/>
      <c r="H16" s="31"/>
      <c r="I16" s="31"/>
      <c r="J16" s="31"/>
    </row>
    <row r="17" spans="1:23" ht="21">
      <c r="A17" s="130" t="s">
        <v>196</v>
      </c>
      <c r="B17" s="116">
        <v>13</v>
      </c>
      <c r="C17" s="62" t="s">
        <v>12</v>
      </c>
      <c r="D17" s="117" t="s">
        <v>333</v>
      </c>
      <c r="E17" s="62"/>
      <c r="F17" s="34" t="s">
        <v>209</v>
      </c>
      <c r="G17" s="31"/>
      <c r="H17" s="31"/>
      <c r="I17" s="31"/>
      <c r="J17" s="31"/>
    </row>
    <row r="18" spans="1:23" ht="21">
      <c r="A18" s="131" t="s">
        <v>197</v>
      </c>
      <c r="B18" s="116">
        <v>14</v>
      </c>
      <c r="C18" s="62" t="s">
        <v>12</v>
      </c>
      <c r="D18" s="117" t="s">
        <v>332</v>
      </c>
      <c r="E18" s="62"/>
      <c r="F18" s="34" t="s">
        <v>209</v>
      </c>
      <c r="G18" s="31"/>
      <c r="H18" s="31"/>
      <c r="I18" s="31"/>
      <c r="J18" s="31"/>
    </row>
    <row r="19" spans="1:23" ht="21">
      <c r="A19" s="130" t="s">
        <v>198</v>
      </c>
      <c r="B19" s="116">
        <v>15</v>
      </c>
      <c r="C19" s="62" t="s">
        <v>12</v>
      </c>
      <c r="D19" s="117" t="s">
        <v>332</v>
      </c>
      <c r="E19" s="62"/>
      <c r="F19" s="34" t="s">
        <v>209</v>
      </c>
      <c r="G19" s="31"/>
      <c r="H19" s="31"/>
      <c r="I19" s="31"/>
      <c r="J19" s="31"/>
    </row>
    <row r="20" spans="1:23" ht="21">
      <c r="A20" s="131" t="s">
        <v>199</v>
      </c>
      <c r="B20" s="116">
        <v>16</v>
      </c>
      <c r="C20" s="62" t="s">
        <v>12</v>
      </c>
      <c r="D20" s="117" t="s">
        <v>332</v>
      </c>
      <c r="E20" s="62"/>
      <c r="F20" s="34" t="s">
        <v>209</v>
      </c>
      <c r="G20" s="31"/>
      <c r="H20" s="31"/>
      <c r="I20" s="31"/>
      <c r="J20" s="31"/>
    </row>
    <row r="21" spans="1:23" customFormat="1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 spans="1:23" customFormat="1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 spans="1:23" customFormat="1" ht="126">
      <c r="A23" s="26" t="s">
        <v>334</v>
      </c>
      <c r="B23" s="37"/>
      <c r="C23" s="27"/>
      <c r="D23" s="36" t="s">
        <v>335</v>
      </c>
      <c r="E23" s="27" t="s">
        <v>212</v>
      </c>
      <c r="F23" s="16"/>
      <c r="G23" s="29"/>
      <c r="H23" s="29"/>
      <c r="I23" s="29"/>
      <c r="J23" s="29" t="s">
        <v>324</v>
      </c>
    </row>
    <row r="24" spans="1:23" customFormat="1" ht="42">
      <c r="A24" s="30" t="s">
        <v>222</v>
      </c>
      <c r="B24" s="30" t="s">
        <v>223</v>
      </c>
      <c r="C24" s="31" t="s">
        <v>8</v>
      </c>
      <c r="D24" s="31" t="s">
        <v>325</v>
      </c>
      <c r="E24" s="32" t="s">
        <v>326</v>
      </c>
      <c r="F24" s="31" t="s">
        <v>327</v>
      </c>
      <c r="G24" s="33" t="s">
        <v>328</v>
      </c>
      <c r="H24" s="31" t="s">
        <v>329</v>
      </c>
      <c r="I24" s="31" t="s">
        <v>330</v>
      </c>
      <c r="J24" s="31" t="s">
        <v>331</v>
      </c>
    </row>
    <row r="25" spans="1:23" ht="21">
      <c r="A25" s="130" t="s">
        <v>167</v>
      </c>
      <c r="B25" s="116">
        <v>1</v>
      </c>
      <c r="C25" s="62" t="s">
        <v>12</v>
      </c>
      <c r="D25" s="117"/>
      <c r="E25" s="62"/>
      <c r="F25" s="34" t="s">
        <v>209</v>
      </c>
      <c r="G25" s="31"/>
      <c r="H25" s="31"/>
      <c r="I25" s="31"/>
      <c r="J25" s="31"/>
      <c r="K25"/>
      <c r="M25"/>
      <c r="N25"/>
      <c r="O25"/>
      <c r="P25"/>
      <c r="Q25"/>
      <c r="R25"/>
      <c r="S25"/>
      <c r="T25"/>
      <c r="U25"/>
      <c r="V25"/>
      <c r="W25"/>
    </row>
    <row r="26" spans="1:23" ht="21">
      <c r="A26" s="131" t="s">
        <v>170</v>
      </c>
      <c r="B26" s="116">
        <v>2</v>
      </c>
      <c r="C26" s="62" t="s">
        <v>12</v>
      </c>
      <c r="D26" s="117"/>
      <c r="E26" s="62"/>
      <c r="F26" s="34" t="s">
        <v>209</v>
      </c>
      <c r="G26" s="31"/>
      <c r="H26" s="31"/>
      <c r="I26" s="31"/>
      <c r="J26" s="31"/>
      <c r="K26"/>
      <c r="M26"/>
      <c r="N26"/>
      <c r="O26"/>
      <c r="P26"/>
      <c r="Q26"/>
      <c r="R26"/>
      <c r="S26"/>
      <c r="T26"/>
      <c r="U26"/>
      <c r="V26"/>
      <c r="W26"/>
    </row>
    <row r="27" spans="1:23" ht="21">
      <c r="A27" s="132" t="s">
        <v>173</v>
      </c>
      <c r="B27" s="118">
        <v>3</v>
      </c>
      <c r="C27" s="120" t="s">
        <v>224</v>
      </c>
      <c r="D27" s="133"/>
      <c r="E27" s="120"/>
      <c r="F27" s="34" t="s">
        <v>209</v>
      </c>
      <c r="G27" s="31"/>
      <c r="H27" s="31"/>
      <c r="I27" s="31"/>
      <c r="J27" s="31"/>
      <c r="K27"/>
      <c r="M27"/>
      <c r="N27"/>
      <c r="O27"/>
      <c r="P27"/>
      <c r="Q27"/>
      <c r="R27"/>
      <c r="S27"/>
      <c r="T27"/>
      <c r="U27"/>
      <c r="V27"/>
      <c r="W27"/>
    </row>
    <row r="28" spans="1:23" ht="21">
      <c r="A28" s="134" t="s">
        <v>175</v>
      </c>
      <c r="B28" s="118">
        <v>4</v>
      </c>
      <c r="C28" s="120" t="s">
        <v>224</v>
      </c>
      <c r="D28" s="119"/>
      <c r="E28" s="120"/>
      <c r="F28" s="34" t="s">
        <v>209</v>
      </c>
      <c r="G28" s="31"/>
      <c r="H28" s="31"/>
      <c r="I28" s="31"/>
      <c r="J28" s="31"/>
      <c r="K28"/>
      <c r="M28"/>
      <c r="N28"/>
      <c r="O28"/>
      <c r="P28"/>
      <c r="Q28"/>
      <c r="R28"/>
      <c r="S28"/>
      <c r="T28"/>
      <c r="U28"/>
      <c r="V28"/>
      <c r="W28"/>
    </row>
    <row r="29" spans="1:23" ht="21">
      <c r="A29" s="132" t="s">
        <v>178</v>
      </c>
      <c r="B29" s="118">
        <v>5</v>
      </c>
      <c r="C29" s="120" t="s">
        <v>224</v>
      </c>
      <c r="D29" s="119"/>
      <c r="E29" s="120"/>
      <c r="F29" s="34" t="s">
        <v>209</v>
      </c>
      <c r="G29" s="35"/>
      <c r="H29" s="35"/>
      <c r="I29" s="35"/>
      <c r="J29" s="35"/>
      <c r="K29"/>
      <c r="M29"/>
      <c r="N29"/>
      <c r="O29"/>
      <c r="P29"/>
      <c r="Q29"/>
      <c r="R29"/>
      <c r="S29"/>
      <c r="T29"/>
      <c r="U29"/>
      <c r="V29"/>
      <c r="W29"/>
    </row>
    <row r="30" spans="1:23" ht="21">
      <c r="A30" s="130" t="s">
        <v>181</v>
      </c>
      <c r="B30" s="116">
        <v>6</v>
      </c>
      <c r="C30" s="62" t="s">
        <v>12</v>
      </c>
      <c r="D30" s="117"/>
      <c r="E30" s="62"/>
      <c r="F30" s="34" t="s">
        <v>209</v>
      </c>
      <c r="G30" s="31"/>
      <c r="H30" s="31"/>
      <c r="I30" s="31"/>
      <c r="J30" s="31"/>
      <c r="K30"/>
      <c r="M30"/>
      <c r="N30"/>
      <c r="O30"/>
      <c r="P30"/>
      <c r="Q30"/>
      <c r="R30"/>
      <c r="S30"/>
      <c r="T30"/>
      <c r="U30"/>
      <c r="V30"/>
      <c r="W30"/>
    </row>
    <row r="31" spans="1:23" ht="21">
      <c r="A31" s="131" t="s">
        <v>183</v>
      </c>
      <c r="B31" s="116">
        <v>7</v>
      </c>
      <c r="C31" s="62" t="s">
        <v>12</v>
      </c>
      <c r="D31" s="117"/>
      <c r="E31" s="62"/>
      <c r="F31" s="34" t="s">
        <v>209</v>
      </c>
      <c r="G31" s="31"/>
      <c r="H31" s="31"/>
      <c r="I31" s="31"/>
      <c r="J31" s="31"/>
      <c r="K31"/>
      <c r="M31"/>
      <c r="N31"/>
      <c r="O31"/>
      <c r="P31"/>
      <c r="Q31"/>
      <c r="R31"/>
      <c r="S31"/>
      <c r="T31"/>
      <c r="U31"/>
      <c r="V31"/>
      <c r="W31"/>
    </row>
    <row r="32" spans="1:23" ht="21">
      <c r="A32" s="130" t="s">
        <v>186</v>
      </c>
      <c r="B32" s="116">
        <v>8</v>
      </c>
      <c r="C32" s="62" t="s">
        <v>12</v>
      </c>
      <c r="D32" s="117"/>
      <c r="E32" s="62"/>
      <c r="F32" s="34" t="s">
        <v>209</v>
      </c>
      <c r="G32" s="31"/>
      <c r="H32" s="31"/>
      <c r="I32" s="31"/>
      <c r="J32" s="31"/>
      <c r="K32"/>
      <c r="M32"/>
      <c r="N32"/>
      <c r="O32"/>
      <c r="P32"/>
      <c r="Q32"/>
      <c r="R32"/>
      <c r="S32"/>
      <c r="T32"/>
      <c r="U32"/>
      <c r="V32"/>
      <c r="W32"/>
    </row>
    <row r="33" spans="1:23" ht="21">
      <c r="A33" s="130" t="s">
        <v>189</v>
      </c>
      <c r="B33" s="116">
        <v>9</v>
      </c>
      <c r="C33" s="62" t="s">
        <v>12</v>
      </c>
      <c r="D33" s="135"/>
      <c r="E33" s="62"/>
      <c r="F33" s="34" t="s">
        <v>209</v>
      </c>
      <c r="G33" s="31"/>
      <c r="H33" s="31"/>
      <c r="I33" s="31"/>
      <c r="J33" s="31"/>
      <c r="K33"/>
      <c r="M33"/>
      <c r="N33"/>
      <c r="O33"/>
      <c r="P33"/>
      <c r="Q33"/>
      <c r="R33"/>
      <c r="S33"/>
      <c r="T33"/>
      <c r="U33"/>
      <c r="V33"/>
      <c r="W33"/>
    </row>
    <row r="34" spans="1:23" ht="21">
      <c r="A34" s="130" t="s">
        <v>192</v>
      </c>
      <c r="B34" s="116">
        <v>10</v>
      </c>
      <c r="C34" s="62" t="s">
        <v>12</v>
      </c>
      <c r="D34" s="135"/>
      <c r="E34" s="62"/>
      <c r="F34" s="34" t="s">
        <v>209</v>
      </c>
      <c r="G34" s="31"/>
      <c r="H34" s="31"/>
      <c r="I34" s="31"/>
      <c r="J34" s="31"/>
      <c r="K34"/>
      <c r="M34"/>
      <c r="N34"/>
      <c r="O34"/>
      <c r="P34"/>
      <c r="Q34"/>
      <c r="R34"/>
      <c r="S34"/>
      <c r="T34"/>
      <c r="U34"/>
      <c r="V34"/>
      <c r="W34"/>
    </row>
    <row r="35" spans="1:23" ht="21">
      <c r="A35" s="132" t="s">
        <v>194</v>
      </c>
      <c r="B35" s="118">
        <v>11</v>
      </c>
      <c r="C35" s="120" t="s">
        <v>224</v>
      </c>
      <c r="D35" s="133"/>
      <c r="E35" s="120"/>
      <c r="F35" s="34" t="s">
        <v>209</v>
      </c>
      <c r="G35" s="31"/>
      <c r="H35" s="31"/>
      <c r="I35" s="31"/>
      <c r="J35" s="31"/>
      <c r="K35"/>
      <c r="M35"/>
      <c r="N35"/>
      <c r="O35"/>
      <c r="P35"/>
      <c r="Q35"/>
      <c r="R35"/>
      <c r="S35"/>
      <c r="T35"/>
      <c r="U35"/>
      <c r="V35"/>
      <c r="W35"/>
    </row>
    <row r="36" spans="1:23" ht="21">
      <c r="A36" s="132" t="s">
        <v>195</v>
      </c>
      <c r="B36" s="118">
        <v>12</v>
      </c>
      <c r="C36" s="120" t="s">
        <v>224</v>
      </c>
      <c r="D36" s="133"/>
      <c r="E36" s="120"/>
      <c r="F36" s="34" t="s">
        <v>209</v>
      </c>
      <c r="G36" s="31"/>
      <c r="H36" s="31"/>
      <c r="I36" s="31"/>
      <c r="J36" s="31"/>
      <c r="K36"/>
      <c r="M36"/>
      <c r="N36"/>
      <c r="O36"/>
      <c r="P36"/>
      <c r="Q36"/>
      <c r="R36"/>
      <c r="S36"/>
      <c r="T36"/>
      <c r="U36"/>
      <c r="V36"/>
      <c r="W36"/>
    </row>
    <row r="37" spans="1:23" ht="21">
      <c r="A37" s="130" t="s">
        <v>196</v>
      </c>
      <c r="B37" s="116">
        <v>13</v>
      </c>
      <c r="C37" s="62" t="s">
        <v>12</v>
      </c>
      <c r="D37" s="117"/>
      <c r="E37" s="62"/>
      <c r="F37" s="34" t="s">
        <v>209</v>
      </c>
      <c r="G37" s="31"/>
      <c r="H37" s="31"/>
      <c r="I37" s="31"/>
      <c r="J37" s="31"/>
      <c r="K37"/>
      <c r="M37"/>
      <c r="N37"/>
      <c r="O37"/>
      <c r="P37"/>
      <c r="Q37"/>
      <c r="R37"/>
      <c r="S37"/>
      <c r="T37"/>
      <c r="U37"/>
      <c r="V37"/>
      <c r="W37"/>
    </row>
    <row r="38" spans="1:23" ht="21">
      <c r="A38" s="131" t="s">
        <v>197</v>
      </c>
      <c r="B38" s="116">
        <v>14</v>
      </c>
      <c r="C38" s="62" t="s">
        <v>12</v>
      </c>
      <c r="D38" s="117"/>
      <c r="E38" s="62"/>
      <c r="F38" s="34" t="s">
        <v>209</v>
      </c>
      <c r="G38" s="31"/>
      <c r="H38" s="31"/>
      <c r="I38" s="31"/>
      <c r="J38" s="31"/>
      <c r="K38"/>
      <c r="M38"/>
      <c r="N38"/>
      <c r="O38"/>
      <c r="P38"/>
      <c r="Q38"/>
      <c r="R38"/>
      <c r="S38"/>
      <c r="T38"/>
      <c r="U38"/>
      <c r="V38"/>
      <c r="W38"/>
    </row>
    <row r="39" spans="1:23" ht="21">
      <c r="A39" s="130" t="s">
        <v>198</v>
      </c>
      <c r="B39" s="116">
        <v>15</v>
      </c>
      <c r="C39" s="62" t="s">
        <v>12</v>
      </c>
      <c r="D39" s="117"/>
      <c r="E39" s="62"/>
      <c r="F39" s="34" t="s">
        <v>209</v>
      </c>
      <c r="G39" s="31"/>
      <c r="H39" s="31"/>
      <c r="I39" s="31"/>
      <c r="J39" s="31"/>
      <c r="K39"/>
      <c r="M39"/>
      <c r="N39"/>
      <c r="O39"/>
      <c r="P39"/>
      <c r="Q39"/>
      <c r="R39"/>
      <c r="S39"/>
      <c r="T39"/>
      <c r="U39"/>
      <c r="V39"/>
      <c r="W39"/>
    </row>
    <row r="40" spans="1:23" ht="21">
      <c r="A40" s="131" t="s">
        <v>199</v>
      </c>
      <c r="B40" s="116">
        <v>16</v>
      </c>
      <c r="C40" s="62" t="s">
        <v>12</v>
      </c>
      <c r="D40" s="117"/>
      <c r="E40" s="62"/>
      <c r="F40" s="34" t="s">
        <v>209</v>
      </c>
      <c r="G40" s="31"/>
      <c r="H40" s="31"/>
      <c r="I40" s="31"/>
      <c r="J40" s="31"/>
      <c r="K40"/>
      <c r="M40"/>
      <c r="N40"/>
      <c r="O40"/>
      <c r="P40"/>
      <c r="Q40"/>
      <c r="R40"/>
      <c r="S40"/>
      <c r="T40"/>
      <c r="U40"/>
      <c r="V40"/>
      <c r="W40"/>
    </row>
    <row r="41" spans="1:23">
      <c r="B41" s="16"/>
      <c r="K41"/>
      <c r="M41"/>
      <c r="N41"/>
      <c r="O41"/>
      <c r="P41"/>
      <c r="Q41"/>
      <c r="R41"/>
      <c r="S41"/>
      <c r="T41"/>
      <c r="U41"/>
      <c r="V41"/>
      <c r="W41"/>
    </row>
    <row r="42" spans="1:23">
      <c r="B42" s="16"/>
      <c r="K42"/>
      <c r="M42"/>
      <c r="N42"/>
      <c r="O42"/>
      <c r="P42"/>
      <c r="Q42"/>
      <c r="R42"/>
      <c r="S42"/>
      <c r="T42"/>
      <c r="U42"/>
      <c r="V42"/>
      <c r="W42"/>
    </row>
    <row r="43" spans="1:23" ht="21">
      <c r="A43" s="26" t="s">
        <v>336</v>
      </c>
      <c r="B43" s="37"/>
      <c r="C43" s="27"/>
      <c r="D43" s="27"/>
      <c r="E43" s="27" t="s">
        <v>213</v>
      </c>
      <c r="F43" s="29"/>
      <c r="G43" s="29"/>
      <c r="H43" s="29"/>
      <c r="I43" s="29"/>
      <c r="J43" s="29" t="s">
        <v>324</v>
      </c>
      <c r="K43"/>
      <c r="M43"/>
      <c r="N43"/>
      <c r="O43"/>
      <c r="P43"/>
      <c r="Q43"/>
      <c r="R43"/>
      <c r="S43"/>
      <c r="T43"/>
      <c r="U43"/>
      <c r="V43"/>
      <c r="W43"/>
    </row>
    <row r="44" spans="1:23" ht="42">
      <c r="A44" s="30" t="s">
        <v>222</v>
      </c>
      <c r="B44" s="30" t="s">
        <v>223</v>
      </c>
      <c r="C44" s="31" t="s">
        <v>8</v>
      </c>
      <c r="D44" s="31" t="s">
        <v>325</v>
      </c>
      <c r="E44" s="32" t="s">
        <v>326</v>
      </c>
      <c r="F44" s="31" t="s">
        <v>327</v>
      </c>
      <c r="G44" s="33" t="s">
        <v>328</v>
      </c>
      <c r="H44" s="31" t="s">
        <v>329</v>
      </c>
      <c r="I44" s="31" t="s">
        <v>330</v>
      </c>
      <c r="J44" s="31" t="s">
        <v>331</v>
      </c>
      <c r="K44"/>
      <c r="M44"/>
      <c r="N44"/>
      <c r="O44"/>
      <c r="P44"/>
      <c r="Q44"/>
      <c r="R44"/>
      <c r="S44"/>
      <c r="T44"/>
      <c r="U44"/>
      <c r="V44"/>
      <c r="W44"/>
    </row>
    <row r="45" spans="1:23" ht="21">
      <c r="A45" s="130" t="s">
        <v>167</v>
      </c>
      <c r="B45" s="116">
        <v>1</v>
      </c>
      <c r="C45" s="62" t="s">
        <v>12</v>
      </c>
      <c r="D45" s="117"/>
      <c r="E45" s="62"/>
      <c r="F45" s="34" t="s">
        <v>209</v>
      </c>
      <c r="G45" s="31"/>
      <c r="H45" s="31"/>
      <c r="I45" s="31"/>
      <c r="J45" s="31"/>
      <c r="K45"/>
      <c r="M45"/>
      <c r="N45"/>
      <c r="O45"/>
      <c r="P45"/>
      <c r="Q45"/>
      <c r="R45"/>
      <c r="S45"/>
      <c r="T45"/>
      <c r="U45"/>
      <c r="V45"/>
      <c r="W45"/>
    </row>
    <row r="46" spans="1:23" ht="21">
      <c r="A46" s="131" t="s">
        <v>170</v>
      </c>
      <c r="B46" s="116">
        <v>2</v>
      </c>
      <c r="C46" s="62" t="s">
        <v>12</v>
      </c>
      <c r="D46" s="117"/>
      <c r="E46" s="62"/>
      <c r="F46" s="34" t="s">
        <v>209</v>
      </c>
      <c r="G46" s="31"/>
      <c r="H46" s="31"/>
      <c r="I46" s="31"/>
      <c r="J46" s="31"/>
      <c r="K46"/>
      <c r="M46"/>
      <c r="N46"/>
      <c r="O46"/>
      <c r="P46"/>
      <c r="Q46"/>
      <c r="R46"/>
      <c r="S46"/>
      <c r="T46"/>
      <c r="U46"/>
      <c r="V46"/>
      <c r="W46"/>
    </row>
    <row r="47" spans="1:23" ht="21">
      <c r="A47" s="132" t="s">
        <v>173</v>
      </c>
      <c r="B47" s="118">
        <v>3</v>
      </c>
      <c r="C47" s="120" t="s">
        <v>224</v>
      </c>
      <c r="D47" s="133"/>
      <c r="E47" s="120"/>
      <c r="F47" s="34" t="s">
        <v>209</v>
      </c>
      <c r="G47" s="31"/>
      <c r="H47" s="31"/>
      <c r="I47" s="31"/>
      <c r="J47" s="31"/>
      <c r="K47"/>
      <c r="M47"/>
      <c r="N47"/>
      <c r="O47"/>
      <c r="P47"/>
      <c r="Q47"/>
      <c r="R47"/>
      <c r="S47"/>
      <c r="T47"/>
      <c r="U47"/>
      <c r="V47"/>
      <c r="W47"/>
    </row>
    <row r="48" spans="1:23" ht="21">
      <c r="A48" s="134" t="s">
        <v>175</v>
      </c>
      <c r="B48" s="118">
        <v>4</v>
      </c>
      <c r="C48" s="120" t="s">
        <v>224</v>
      </c>
      <c r="D48" s="119"/>
      <c r="E48" s="120"/>
      <c r="F48" s="34" t="s">
        <v>209</v>
      </c>
      <c r="G48" s="31"/>
      <c r="H48" s="31"/>
      <c r="I48" s="31"/>
      <c r="J48" s="31"/>
      <c r="K48"/>
      <c r="M48"/>
      <c r="N48"/>
      <c r="O48"/>
      <c r="P48"/>
      <c r="Q48"/>
      <c r="R48"/>
      <c r="S48"/>
      <c r="T48"/>
      <c r="U48"/>
      <c r="V48"/>
      <c r="W48"/>
    </row>
    <row r="49" spans="1:23" ht="21">
      <c r="A49" s="132" t="s">
        <v>178</v>
      </c>
      <c r="B49" s="118">
        <v>5</v>
      </c>
      <c r="C49" s="120" t="s">
        <v>224</v>
      </c>
      <c r="D49" s="119"/>
      <c r="E49" s="120"/>
      <c r="F49" s="34" t="s">
        <v>209</v>
      </c>
      <c r="G49" s="35"/>
      <c r="H49" s="35"/>
      <c r="I49" s="35"/>
      <c r="J49" s="35"/>
      <c r="K49"/>
      <c r="M49"/>
      <c r="N49"/>
      <c r="O49"/>
      <c r="P49"/>
      <c r="Q49"/>
      <c r="R49"/>
      <c r="S49"/>
      <c r="T49"/>
      <c r="U49"/>
      <c r="V49"/>
      <c r="W49"/>
    </row>
    <row r="50" spans="1:23" ht="21">
      <c r="A50" s="130" t="s">
        <v>181</v>
      </c>
      <c r="B50" s="116">
        <v>6</v>
      </c>
      <c r="C50" s="62" t="s">
        <v>12</v>
      </c>
      <c r="D50" s="117"/>
      <c r="E50" s="62"/>
      <c r="F50" s="34" t="s">
        <v>209</v>
      </c>
      <c r="G50" s="31"/>
      <c r="H50" s="31"/>
      <c r="I50" s="31"/>
      <c r="J50" s="31"/>
      <c r="K50"/>
      <c r="M50"/>
      <c r="N50"/>
      <c r="O50"/>
      <c r="P50"/>
      <c r="Q50"/>
      <c r="R50"/>
      <c r="S50"/>
      <c r="T50"/>
      <c r="U50"/>
      <c r="V50"/>
      <c r="W50"/>
    </row>
    <row r="51" spans="1:23" ht="21">
      <c r="A51" s="131" t="s">
        <v>183</v>
      </c>
      <c r="B51" s="116">
        <v>7</v>
      </c>
      <c r="C51" s="62" t="s">
        <v>12</v>
      </c>
      <c r="D51" s="117"/>
      <c r="E51" s="62"/>
      <c r="F51" s="34" t="s">
        <v>209</v>
      </c>
      <c r="G51" s="31"/>
      <c r="H51" s="31"/>
      <c r="I51" s="31"/>
      <c r="J51" s="31"/>
      <c r="K51"/>
      <c r="M51"/>
      <c r="N51"/>
      <c r="O51"/>
      <c r="P51"/>
      <c r="Q51"/>
      <c r="R51"/>
      <c r="S51"/>
      <c r="T51"/>
      <c r="U51"/>
      <c r="V51"/>
      <c r="W51"/>
    </row>
    <row r="52" spans="1:23" ht="21">
      <c r="A52" s="130" t="s">
        <v>186</v>
      </c>
      <c r="B52" s="116">
        <v>8</v>
      </c>
      <c r="C52" s="62" t="s">
        <v>12</v>
      </c>
      <c r="D52" s="117"/>
      <c r="E52" s="62"/>
      <c r="F52" s="34" t="s">
        <v>209</v>
      </c>
      <c r="G52" s="31"/>
      <c r="H52" s="31"/>
      <c r="I52" s="31"/>
      <c r="J52" s="31"/>
      <c r="K52"/>
      <c r="M52"/>
      <c r="N52"/>
      <c r="O52"/>
      <c r="P52"/>
      <c r="Q52"/>
      <c r="R52"/>
      <c r="S52"/>
      <c r="T52"/>
      <c r="U52"/>
      <c r="V52"/>
      <c r="W52"/>
    </row>
    <row r="53" spans="1:23" ht="21">
      <c r="A53" s="130" t="s">
        <v>189</v>
      </c>
      <c r="B53" s="116">
        <v>9</v>
      </c>
      <c r="C53" s="62" t="s">
        <v>12</v>
      </c>
      <c r="D53" s="135"/>
      <c r="E53" s="62"/>
      <c r="F53" s="34" t="s">
        <v>209</v>
      </c>
      <c r="G53" s="31"/>
      <c r="H53" s="31"/>
      <c r="I53" s="31"/>
      <c r="J53" s="31"/>
      <c r="K53"/>
      <c r="M53"/>
      <c r="N53"/>
      <c r="O53"/>
      <c r="P53"/>
      <c r="Q53"/>
      <c r="R53"/>
      <c r="S53"/>
      <c r="T53"/>
      <c r="U53"/>
      <c r="V53"/>
      <c r="W53"/>
    </row>
    <row r="54" spans="1:23" ht="21">
      <c r="A54" s="130" t="s">
        <v>192</v>
      </c>
      <c r="B54" s="116">
        <v>10</v>
      </c>
      <c r="C54" s="62" t="s">
        <v>12</v>
      </c>
      <c r="D54" s="135"/>
      <c r="E54" s="62"/>
      <c r="F54" s="34" t="s">
        <v>209</v>
      </c>
      <c r="G54" s="31"/>
      <c r="H54" s="31"/>
      <c r="I54" s="31"/>
      <c r="J54" s="31"/>
      <c r="K54"/>
      <c r="M54"/>
      <c r="N54"/>
      <c r="O54"/>
      <c r="P54"/>
      <c r="Q54"/>
      <c r="R54"/>
      <c r="S54"/>
      <c r="T54"/>
      <c r="U54"/>
      <c r="V54"/>
      <c r="W54"/>
    </row>
    <row r="55" spans="1:23" ht="21">
      <c r="A55" s="132" t="s">
        <v>194</v>
      </c>
      <c r="B55" s="118">
        <v>11</v>
      </c>
      <c r="C55" s="120" t="s">
        <v>224</v>
      </c>
      <c r="D55" s="133"/>
      <c r="E55" s="120"/>
      <c r="F55" s="34" t="s">
        <v>209</v>
      </c>
      <c r="G55" s="31"/>
      <c r="H55" s="31"/>
      <c r="I55" s="31"/>
      <c r="J55" s="31"/>
      <c r="K55"/>
      <c r="M55"/>
      <c r="N55"/>
      <c r="O55"/>
      <c r="P55"/>
      <c r="Q55"/>
      <c r="R55"/>
      <c r="S55"/>
      <c r="T55"/>
      <c r="U55"/>
      <c r="V55"/>
      <c r="W55"/>
    </row>
    <row r="56" spans="1:23" ht="21">
      <c r="A56" s="132" t="s">
        <v>195</v>
      </c>
      <c r="B56" s="118">
        <v>12</v>
      </c>
      <c r="C56" s="120" t="s">
        <v>224</v>
      </c>
      <c r="D56" s="133"/>
      <c r="E56" s="120"/>
      <c r="F56" s="34" t="s">
        <v>209</v>
      </c>
      <c r="G56" s="31"/>
      <c r="H56" s="31"/>
      <c r="I56" s="31"/>
      <c r="J56" s="31"/>
      <c r="K56"/>
      <c r="M56"/>
      <c r="N56"/>
      <c r="O56"/>
      <c r="P56"/>
      <c r="Q56"/>
      <c r="R56"/>
      <c r="S56"/>
      <c r="T56"/>
      <c r="U56"/>
      <c r="V56"/>
      <c r="W56"/>
    </row>
    <row r="57" spans="1:23" ht="21">
      <c r="A57" s="130" t="s">
        <v>196</v>
      </c>
      <c r="B57" s="116">
        <v>13</v>
      </c>
      <c r="C57" s="62" t="s">
        <v>12</v>
      </c>
      <c r="D57" s="117"/>
      <c r="E57" s="62"/>
      <c r="F57" s="34" t="s">
        <v>209</v>
      </c>
      <c r="G57" s="31"/>
      <c r="H57" s="31"/>
      <c r="I57" s="31"/>
      <c r="J57" s="31"/>
      <c r="K57"/>
      <c r="M57"/>
      <c r="N57"/>
      <c r="O57"/>
      <c r="P57"/>
      <c r="Q57"/>
      <c r="R57"/>
      <c r="S57"/>
      <c r="T57"/>
      <c r="U57"/>
      <c r="V57"/>
      <c r="W57"/>
    </row>
    <row r="58" spans="1:23" ht="21">
      <c r="A58" s="131" t="s">
        <v>197</v>
      </c>
      <c r="B58" s="116">
        <v>14</v>
      </c>
      <c r="C58" s="62" t="s">
        <v>12</v>
      </c>
      <c r="D58" s="117"/>
      <c r="E58" s="62"/>
      <c r="F58" s="34" t="s">
        <v>209</v>
      </c>
      <c r="G58" s="31"/>
      <c r="H58" s="31"/>
      <c r="I58" s="31"/>
      <c r="J58" s="31"/>
      <c r="K58"/>
      <c r="M58"/>
      <c r="N58"/>
      <c r="O58"/>
      <c r="P58"/>
      <c r="Q58"/>
      <c r="R58"/>
      <c r="S58"/>
      <c r="T58"/>
      <c r="U58"/>
      <c r="V58"/>
      <c r="W58"/>
    </row>
    <row r="59" spans="1:23" ht="21">
      <c r="A59" s="130" t="s">
        <v>198</v>
      </c>
      <c r="B59" s="116">
        <v>15</v>
      </c>
      <c r="C59" s="62" t="s">
        <v>12</v>
      </c>
      <c r="D59" s="117"/>
      <c r="E59" s="62"/>
      <c r="F59" s="34" t="s">
        <v>209</v>
      </c>
      <c r="G59" s="31"/>
      <c r="H59" s="31"/>
      <c r="I59" s="31"/>
      <c r="J59" s="31"/>
      <c r="K59"/>
      <c r="M59"/>
      <c r="N59"/>
      <c r="O59"/>
      <c r="P59"/>
      <c r="Q59"/>
      <c r="R59"/>
      <c r="S59"/>
      <c r="T59"/>
      <c r="U59"/>
      <c r="V59"/>
      <c r="W59"/>
    </row>
    <row r="60" spans="1:23" ht="21">
      <c r="A60" s="131" t="s">
        <v>199</v>
      </c>
      <c r="B60" s="116">
        <v>16</v>
      </c>
      <c r="C60" s="62" t="s">
        <v>12</v>
      </c>
      <c r="D60" s="117"/>
      <c r="E60" s="62"/>
      <c r="F60" s="34" t="s">
        <v>209</v>
      </c>
      <c r="G60" s="31"/>
      <c r="H60" s="31"/>
      <c r="I60" s="31"/>
      <c r="J60" s="31"/>
      <c r="K60"/>
      <c r="M60"/>
      <c r="N60"/>
      <c r="O60"/>
      <c r="P60"/>
      <c r="Q60"/>
      <c r="R60"/>
      <c r="S60"/>
      <c r="T60"/>
      <c r="U60"/>
      <c r="V60"/>
      <c r="W60"/>
    </row>
    <row r="61" spans="1:23">
      <c r="B61" s="16"/>
      <c r="K61"/>
      <c r="M61"/>
      <c r="N61"/>
      <c r="O61"/>
      <c r="P61"/>
      <c r="Q61"/>
      <c r="R61"/>
      <c r="S61"/>
      <c r="T61"/>
      <c r="U61"/>
      <c r="V61"/>
      <c r="W61"/>
    </row>
    <row r="62" spans="1:23">
      <c r="B62" s="16"/>
      <c r="K62"/>
      <c r="M62"/>
      <c r="N62"/>
      <c r="O62"/>
      <c r="P62"/>
      <c r="Q62"/>
      <c r="R62"/>
      <c r="S62"/>
      <c r="T62"/>
      <c r="U62"/>
      <c r="V62"/>
      <c r="W62"/>
    </row>
    <row r="63" spans="1:23" ht="21">
      <c r="A63" s="26" t="s">
        <v>337</v>
      </c>
      <c r="B63" s="37"/>
      <c r="C63" s="27"/>
      <c r="D63" s="37"/>
      <c r="E63" s="27" t="s">
        <v>214</v>
      </c>
      <c r="F63" s="28" t="s">
        <v>338</v>
      </c>
      <c r="G63" s="29"/>
      <c r="H63" s="29"/>
      <c r="I63" s="29"/>
      <c r="J63" s="29" t="s">
        <v>324</v>
      </c>
      <c r="K63"/>
      <c r="M63"/>
      <c r="N63"/>
      <c r="O63"/>
      <c r="P63"/>
      <c r="Q63"/>
      <c r="R63"/>
      <c r="S63"/>
      <c r="T63"/>
      <c r="U63"/>
      <c r="V63"/>
      <c r="W63"/>
    </row>
    <row r="64" spans="1:23" ht="42">
      <c r="A64" s="30" t="s">
        <v>222</v>
      </c>
      <c r="B64" s="30" t="s">
        <v>223</v>
      </c>
      <c r="C64" s="31" t="s">
        <v>8</v>
      </c>
      <c r="D64" s="31" t="s">
        <v>325</v>
      </c>
      <c r="E64" s="32" t="s">
        <v>326</v>
      </c>
      <c r="F64" s="31" t="s">
        <v>327</v>
      </c>
      <c r="G64" s="33" t="s">
        <v>328</v>
      </c>
      <c r="H64" s="31" t="s">
        <v>329</v>
      </c>
      <c r="I64" s="31" t="s">
        <v>330</v>
      </c>
      <c r="J64" s="31" t="s">
        <v>331</v>
      </c>
      <c r="K64"/>
    </row>
    <row r="65" spans="1:11" ht="21">
      <c r="A65" s="130" t="s">
        <v>167</v>
      </c>
      <c r="B65" s="116">
        <v>1</v>
      </c>
      <c r="C65" s="62" t="s">
        <v>12</v>
      </c>
      <c r="D65" s="117"/>
      <c r="E65" s="62"/>
      <c r="F65" s="34" t="s">
        <v>209</v>
      </c>
      <c r="G65" s="31"/>
      <c r="H65" s="31"/>
      <c r="I65" s="31"/>
      <c r="J65" s="31"/>
      <c r="K65"/>
    </row>
    <row r="66" spans="1:11" ht="21">
      <c r="A66" s="131" t="s">
        <v>170</v>
      </c>
      <c r="B66" s="116">
        <v>2</v>
      </c>
      <c r="C66" s="62" t="s">
        <v>12</v>
      </c>
      <c r="D66" s="117"/>
      <c r="E66" s="62"/>
      <c r="F66" s="34" t="s">
        <v>209</v>
      </c>
      <c r="G66" s="31"/>
      <c r="H66" s="31"/>
      <c r="I66" s="31"/>
      <c r="J66" s="31"/>
      <c r="K66"/>
    </row>
    <row r="67" spans="1:11" ht="21">
      <c r="A67" s="132" t="s">
        <v>173</v>
      </c>
      <c r="B67" s="118">
        <v>3</v>
      </c>
      <c r="C67" s="120" t="s">
        <v>224</v>
      </c>
      <c r="D67" s="133"/>
      <c r="E67" s="120"/>
      <c r="F67" s="34" t="s">
        <v>209</v>
      </c>
      <c r="G67" s="31"/>
      <c r="H67" s="31"/>
      <c r="I67" s="31"/>
      <c r="J67" s="31"/>
      <c r="K67"/>
    </row>
    <row r="68" spans="1:11" ht="21">
      <c r="A68" s="134" t="s">
        <v>175</v>
      </c>
      <c r="B68" s="118">
        <v>4</v>
      </c>
      <c r="C68" s="120" t="s">
        <v>224</v>
      </c>
      <c r="D68" s="119"/>
      <c r="E68" s="120"/>
      <c r="F68" s="34" t="s">
        <v>209</v>
      </c>
      <c r="G68" s="31"/>
      <c r="H68" s="31"/>
      <c r="I68" s="31"/>
      <c r="J68" s="31"/>
      <c r="K68"/>
    </row>
    <row r="69" spans="1:11" ht="21">
      <c r="A69" s="132" t="s">
        <v>178</v>
      </c>
      <c r="B69" s="118">
        <v>5</v>
      </c>
      <c r="C69" s="120" t="s">
        <v>224</v>
      </c>
      <c r="D69" s="119"/>
      <c r="E69" s="120"/>
      <c r="F69" s="34" t="s">
        <v>209</v>
      </c>
      <c r="G69" s="35"/>
      <c r="H69" s="35"/>
      <c r="I69" s="35"/>
      <c r="J69" s="35"/>
      <c r="K69"/>
    </row>
    <row r="70" spans="1:11" ht="21">
      <c r="A70" s="130" t="s">
        <v>181</v>
      </c>
      <c r="B70" s="116">
        <v>6</v>
      </c>
      <c r="C70" s="62" t="s">
        <v>12</v>
      </c>
      <c r="D70" s="117"/>
      <c r="E70" s="62"/>
      <c r="F70" s="34" t="s">
        <v>209</v>
      </c>
      <c r="G70" s="31"/>
      <c r="H70" s="31"/>
      <c r="I70" s="31"/>
      <c r="J70" s="31"/>
      <c r="K70"/>
    </row>
    <row r="71" spans="1:11" ht="21">
      <c r="A71" s="131" t="s">
        <v>183</v>
      </c>
      <c r="B71" s="116">
        <v>7</v>
      </c>
      <c r="C71" s="62" t="s">
        <v>12</v>
      </c>
      <c r="D71" s="117"/>
      <c r="E71" s="62"/>
      <c r="F71" s="34" t="s">
        <v>209</v>
      </c>
      <c r="G71" s="31"/>
      <c r="H71" s="31"/>
      <c r="I71" s="31"/>
      <c r="J71" s="31"/>
      <c r="K71"/>
    </row>
    <row r="72" spans="1:11" ht="21">
      <c r="A72" s="130" t="s">
        <v>186</v>
      </c>
      <c r="B72" s="116">
        <v>8</v>
      </c>
      <c r="C72" s="62" t="s">
        <v>12</v>
      </c>
      <c r="D72" s="117"/>
      <c r="E72" s="62"/>
      <c r="F72" s="34" t="s">
        <v>209</v>
      </c>
      <c r="G72" s="31"/>
      <c r="H72" s="31"/>
      <c r="I72" s="31"/>
      <c r="J72" s="31"/>
      <c r="K72"/>
    </row>
    <row r="73" spans="1:11" ht="21">
      <c r="A73" s="130" t="s">
        <v>189</v>
      </c>
      <c r="B73" s="116">
        <v>9</v>
      </c>
      <c r="C73" s="62" t="s">
        <v>12</v>
      </c>
      <c r="D73" s="135"/>
      <c r="E73" s="62"/>
      <c r="F73" s="34" t="s">
        <v>209</v>
      </c>
      <c r="G73" s="31"/>
      <c r="H73" s="31"/>
      <c r="I73" s="31"/>
      <c r="J73" s="31"/>
      <c r="K73"/>
    </row>
    <row r="74" spans="1:11" ht="21">
      <c r="A74" s="130" t="s">
        <v>192</v>
      </c>
      <c r="B74" s="116">
        <v>10</v>
      </c>
      <c r="C74" s="62" t="s">
        <v>12</v>
      </c>
      <c r="D74" s="135"/>
      <c r="E74" s="62"/>
      <c r="F74" s="34" t="s">
        <v>209</v>
      </c>
      <c r="G74" s="31"/>
      <c r="H74" s="31"/>
      <c r="I74" s="31"/>
      <c r="J74" s="31"/>
      <c r="K74"/>
    </row>
    <row r="75" spans="1:11" ht="21">
      <c r="A75" s="132" t="s">
        <v>194</v>
      </c>
      <c r="B75" s="118">
        <v>11</v>
      </c>
      <c r="C75" s="120" t="s">
        <v>224</v>
      </c>
      <c r="D75" s="133"/>
      <c r="E75" s="120"/>
      <c r="F75" s="34" t="s">
        <v>209</v>
      </c>
      <c r="G75" s="31"/>
      <c r="H75" s="31"/>
      <c r="I75" s="31"/>
      <c r="J75" s="31"/>
      <c r="K75"/>
    </row>
    <row r="76" spans="1:11" ht="21">
      <c r="A76" s="132" t="s">
        <v>195</v>
      </c>
      <c r="B76" s="118">
        <v>12</v>
      </c>
      <c r="C76" s="120" t="s">
        <v>224</v>
      </c>
      <c r="D76" s="133"/>
      <c r="E76" s="120"/>
      <c r="F76" s="34" t="s">
        <v>209</v>
      </c>
      <c r="G76" s="31"/>
      <c r="H76" s="31"/>
      <c r="I76" s="31"/>
      <c r="J76" s="31"/>
      <c r="K76"/>
    </row>
    <row r="77" spans="1:11" ht="21">
      <c r="A77" s="130" t="s">
        <v>196</v>
      </c>
      <c r="B77" s="116">
        <v>13</v>
      </c>
      <c r="C77" s="62" t="s">
        <v>12</v>
      </c>
      <c r="D77" s="117"/>
      <c r="E77" s="62"/>
      <c r="F77" s="34" t="s">
        <v>209</v>
      </c>
      <c r="G77" s="31"/>
      <c r="H77" s="31"/>
      <c r="I77" s="31"/>
      <c r="J77" s="31"/>
      <c r="K77"/>
    </row>
    <row r="78" spans="1:11" ht="21">
      <c r="A78" s="131" t="s">
        <v>197</v>
      </c>
      <c r="B78" s="116">
        <v>14</v>
      </c>
      <c r="C78" s="62" t="s">
        <v>12</v>
      </c>
      <c r="D78" s="117"/>
      <c r="E78" s="62"/>
      <c r="F78" s="34" t="s">
        <v>209</v>
      </c>
      <c r="G78" s="31"/>
      <c r="H78" s="31"/>
      <c r="I78" s="31"/>
      <c r="J78" s="31"/>
      <c r="K78"/>
    </row>
    <row r="79" spans="1:11" ht="21">
      <c r="A79" s="130" t="s">
        <v>198</v>
      </c>
      <c r="B79" s="116">
        <v>15</v>
      </c>
      <c r="C79" s="62" t="s">
        <v>12</v>
      </c>
      <c r="D79" s="117"/>
      <c r="E79" s="62"/>
      <c r="F79" s="34" t="s">
        <v>209</v>
      </c>
      <c r="G79" s="31"/>
      <c r="H79" s="31"/>
      <c r="I79" s="31"/>
      <c r="J79" s="31"/>
      <c r="K79"/>
    </row>
    <row r="80" spans="1:11" ht="21">
      <c r="A80" s="131" t="s">
        <v>199</v>
      </c>
      <c r="B80" s="116">
        <v>16</v>
      </c>
      <c r="C80" s="62" t="s">
        <v>12</v>
      </c>
      <c r="D80" s="117"/>
      <c r="E80" s="62"/>
      <c r="F80" s="34" t="s">
        <v>209</v>
      </c>
      <c r="G80" s="31"/>
      <c r="H80" s="31"/>
      <c r="I80" s="31"/>
      <c r="J80" s="31"/>
      <c r="K80"/>
    </row>
    <row r="81" spans="1:11">
      <c r="A81"/>
      <c r="B81"/>
      <c r="C81"/>
      <c r="D81"/>
      <c r="E81"/>
      <c r="F81"/>
      <c r="G81"/>
      <c r="H81"/>
      <c r="I81"/>
      <c r="J81"/>
      <c r="K81"/>
    </row>
    <row r="82" spans="1:11">
      <c r="A82"/>
      <c r="B82"/>
      <c r="C82"/>
      <c r="D82"/>
      <c r="E82"/>
      <c r="F82"/>
      <c r="G82"/>
      <c r="H82"/>
      <c r="I82"/>
      <c r="J82"/>
      <c r="K82"/>
    </row>
    <row r="83" spans="1:11" ht="126">
      <c r="A83" s="26" t="s">
        <v>339</v>
      </c>
      <c r="B83" s="37"/>
      <c r="C83" s="27"/>
      <c r="D83" s="36" t="s">
        <v>335</v>
      </c>
      <c r="E83" s="27" t="s">
        <v>215</v>
      </c>
      <c r="G83" s="29"/>
      <c r="H83" s="29"/>
      <c r="I83" s="29"/>
      <c r="J83" s="29" t="s">
        <v>324</v>
      </c>
      <c r="K83"/>
    </row>
    <row r="84" spans="1:11" ht="42">
      <c r="A84" s="30" t="s">
        <v>222</v>
      </c>
      <c r="B84" s="30" t="s">
        <v>223</v>
      </c>
      <c r="C84" s="31" t="s">
        <v>8</v>
      </c>
      <c r="D84" s="31" t="s">
        <v>325</v>
      </c>
      <c r="E84" s="32" t="s">
        <v>326</v>
      </c>
      <c r="F84" s="31" t="s">
        <v>327</v>
      </c>
      <c r="G84" s="33" t="s">
        <v>328</v>
      </c>
      <c r="H84" s="31" t="s">
        <v>329</v>
      </c>
      <c r="I84" s="31" t="s">
        <v>330</v>
      </c>
      <c r="J84" s="31" t="s">
        <v>331</v>
      </c>
      <c r="K84"/>
    </row>
    <row r="85" spans="1:11" ht="21">
      <c r="A85" s="130" t="s">
        <v>167</v>
      </c>
      <c r="B85" s="116">
        <v>1</v>
      </c>
      <c r="C85" s="62" t="s">
        <v>12</v>
      </c>
      <c r="D85" s="117"/>
      <c r="E85" s="62"/>
      <c r="F85" s="34" t="s">
        <v>209</v>
      </c>
      <c r="G85" s="31"/>
      <c r="H85" s="31"/>
      <c r="I85" s="31"/>
      <c r="J85" s="31"/>
      <c r="K85"/>
    </row>
    <row r="86" spans="1:11" ht="21">
      <c r="A86" s="131" t="s">
        <v>170</v>
      </c>
      <c r="B86" s="116">
        <v>2</v>
      </c>
      <c r="C86" s="62" t="s">
        <v>12</v>
      </c>
      <c r="D86" s="117"/>
      <c r="E86" s="62"/>
      <c r="F86" s="34" t="s">
        <v>209</v>
      </c>
      <c r="G86" s="31"/>
      <c r="H86" s="31"/>
      <c r="I86" s="31"/>
      <c r="J86" s="31"/>
      <c r="K86"/>
    </row>
    <row r="87" spans="1:11" ht="21">
      <c r="A87" s="132" t="s">
        <v>173</v>
      </c>
      <c r="B87" s="118">
        <v>3</v>
      </c>
      <c r="C87" s="120" t="s">
        <v>224</v>
      </c>
      <c r="D87" s="133"/>
      <c r="E87" s="120"/>
      <c r="F87" s="34" t="s">
        <v>209</v>
      </c>
      <c r="G87" s="31"/>
      <c r="H87" s="31"/>
      <c r="I87" s="31"/>
      <c r="J87" s="31"/>
      <c r="K87"/>
    </row>
    <row r="88" spans="1:11" ht="21">
      <c r="A88" s="134" t="s">
        <v>175</v>
      </c>
      <c r="B88" s="118">
        <v>4</v>
      </c>
      <c r="C88" s="120" t="s">
        <v>224</v>
      </c>
      <c r="D88" s="119"/>
      <c r="E88" s="120"/>
      <c r="F88" s="34" t="s">
        <v>209</v>
      </c>
      <c r="G88" s="31"/>
      <c r="H88" s="31"/>
      <c r="I88" s="31"/>
      <c r="J88" s="31"/>
      <c r="K88"/>
    </row>
    <row r="89" spans="1:11" ht="21">
      <c r="A89" s="132" t="s">
        <v>178</v>
      </c>
      <c r="B89" s="118">
        <v>5</v>
      </c>
      <c r="C89" s="120" t="s">
        <v>224</v>
      </c>
      <c r="D89" s="119"/>
      <c r="E89" s="120"/>
      <c r="F89" s="34" t="s">
        <v>209</v>
      </c>
      <c r="G89" s="35"/>
      <c r="H89" s="35"/>
      <c r="I89" s="35"/>
      <c r="J89" s="35"/>
      <c r="K89"/>
    </row>
    <row r="90" spans="1:11" ht="21">
      <c r="A90" s="130" t="s">
        <v>181</v>
      </c>
      <c r="B90" s="116">
        <v>6</v>
      </c>
      <c r="C90" s="62" t="s">
        <v>12</v>
      </c>
      <c r="D90" s="117"/>
      <c r="E90" s="62"/>
      <c r="F90" s="34" t="s">
        <v>209</v>
      </c>
      <c r="G90" s="31"/>
      <c r="H90" s="31"/>
      <c r="I90" s="31"/>
      <c r="J90" s="31"/>
      <c r="K90"/>
    </row>
    <row r="91" spans="1:11" ht="21">
      <c r="A91" s="131" t="s">
        <v>183</v>
      </c>
      <c r="B91" s="116">
        <v>7</v>
      </c>
      <c r="C91" s="62" t="s">
        <v>12</v>
      </c>
      <c r="D91" s="117"/>
      <c r="E91" s="62"/>
      <c r="F91" s="34" t="s">
        <v>209</v>
      </c>
      <c r="G91" s="31"/>
      <c r="H91" s="31"/>
      <c r="I91" s="31"/>
      <c r="J91" s="31"/>
      <c r="K91"/>
    </row>
    <row r="92" spans="1:11" ht="21">
      <c r="A92" s="130" t="s">
        <v>186</v>
      </c>
      <c r="B92" s="116">
        <v>8</v>
      </c>
      <c r="C92" s="62" t="s">
        <v>12</v>
      </c>
      <c r="D92" s="117"/>
      <c r="E92" s="62"/>
      <c r="F92" s="34" t="s">
        <v>209</v>
      </c>
      <c r="G92" s="31"/>
      <c r="H92" s="31"/>
      <c r="I92" s="31"/>
      <c r="J92" s="31"/>
      <c r="K92"/>
    </row>
    <row r="93" spans="1:11" ht="21">
      <c r="A93" s="130" t="s">
        <v>189</v>
      </c>
      <c r="B93" s="116">
        <v>9</v>
      </c>
      <c r="C93" s="62" t="s">
        <v>12</v>
      </c>
      <c r="D93" s="135"/>
      <c r="E93" s="62"/>
      <c r="F93" s="34" t="s">
        <v>209</v>
      </c>
      <c r="G93" s="31"/>
      <c r="H93" s="31"/>
      <c r="I93" s="31"/>
      <c r="J93" s="31"/>
      <c r="K93"/>
    </row>
    <row r="94" spans="1:11" ht="21">
      <c r="A94" s="130" t="s">
        <v>192</v>
      </c>
      <c r="B94" s="116">
        <v>10</v>
      </c>
      <c r="C94" s="62" t="s">
        <v>12</v>
      </c>
      <c r="D94" s="135"/>
      <c r="E94" s="62"/>
      <c r="F94" s="34" t="s">
        <v>209</v>
      </c>
      <c r="G94" s="31"/>
      <c r="H94" s="31"/>
      <c r="I94" s="31"/>
      <c r="J94" s="31"/>
      <c r="K94"/>
    </row>
    <row r="95" spans="1:11" ht="21">
      <c r="A95" s="132" t="s">
        <v>194</v>
      </c>
      <c r="B95" s="118">
        <v>11</v>
      </c>
      <c r="C95" s="120" t="s">
        <v>224</v>
      </c>
      <c r="D95" s="133"/>
      <c r="E95" s="120"/>
      <c r="F95" s="34" t="s">
        <v>209</v>
      </c>
      <c r="G95" s="31"/>
      <c r="H95" s="31"/>
      <c r="I95" s="31"/>
      <c r="J95" s="31"/>
      <c r="K95"/>
    </row>
    <row r="96" spans="1:11" ht="21">
      <c r="A96" s="132" t="s">
        <v>195</v>
      </c>
      <c r="B96" s="118">
        <v>12</v>
      </c>
      <c r="C96" s="120" t="s">
        <v>224</v>
      </c>
      <c r="D96" s="133"/>
      <c r="E96" s="120"/>
      <c r="F96" s="34" t="s">
        <v>209</v>
      </c>
      <c r="G96" s="31"/>
      <c r="H96" s="31"/>
      <c r="I96" s="31"/>
      <c r="J96" s="31"/>
      <c r="K96"/>
    </row>
    <row r="97" spans="1:11" ht="21">
      <c r="A97" s="130" t="s">
        <v>196</v>
      </c>
      <c r="B97" s="116">
        <v>13</v>
      </c>
      <c r="C97" s="62" t="s">
        <v>12</v>
      </c>
      <c r="D97" s="117"/>
      <c r="E97" s="62"/>
      <c r="F97" s="34" t="s">
        <v>209</v>
      </c>
      <c r="G97" s="31"/>
      <c r="H97" s="31"/>
      <c r="I97" s="31"/>
      <c r="J97" s="31"/>
      <c r="K97"/>
    </row>
    <row r="98" spans="1:11" ht="21">
      <c r="A98" s="131" t="s">
        <v>197</v>
      </c>
      <c r="B98" s="116">
        <v>14</v>
      </c>
      <c r="C98" s="62" t="s">
        <v>12</v>
      </c>
      <c r="D98" s="117"/>
      <c r="E98" s="62"/>
      <c r="F98" s="34" t="s">
        <v>209</v>
      </c>
      <c r="G98" s="31"/>
      <c r="H98" s="31"/>
      <c r="I98" s="31"/>
      <c r="J98" s="31"/>
      <c r="K98"/>
    </row>
    <row r="99" spans="1:11" ht="21">
      <c r="A99" s="130" t="s">
        <v>198</v>
      </c>
      <c r="B99" s="116">
        <v>15</v>
      </c>
      <c r="C99" s="62" t="s">
        <v>12</v>
      </c>
      <c r="D99" s="117"/>
      <c r="E99" s="62"/>
      <c r="F99" s="34" t="s">
        <v>209</v>
      </c>
      <c r="G99" s="31"/>
      <c r="H99" s="31"/>
      <c r="I99" s="31"/>
      <c r="J99" s="31"/>
      <c r="K99"/>
    </row>
    <row r="100" spans="1:11" ht="21">
      <c r="A100" s="131" t="s">
        <v>199</v>
      </c>
      <c r="B100" s="116">
        <v>16</v>
      </c>
      <c r="C100" s="62" t="s">
        <v>12</v>
      </c>
      <c r="D100" s="117"/>
      <c r="E100" s="62"/>
      <c r="F100" s="34" t="s">
        <v>209</v>
      </c>
      <c r="G100" s="31"/>
      <c r="H100" s="31"/>
      <c r="I100" s="31"/>
      <c r="J100" s="31"/>
      <c r="K100"/>
    </row>
    <row r="101" spans="1:11">
      <c r="B101" s="16"/>
      <c r="K101"/>
    </row>
    <row r="102" spans="1:11">
      <c r="B102" s="16"/>
      <c r="K102"/>
    </row>
    <row r="103" spans="1:11" ht="21">
      <c r="A103" s="26" t="s">
        <v>340</v>
      </c>
      <c r="B103" s="37"/>
      <c r="C103" s="27"/>
      <c r="D103" s="27"/>
      <c r="E103" s="27" t="s">
        <v>217</v>
      </c>
      <c r="F103" s="29"/>
      <c r="G103" s="29"/>
      <c r="H103" s="29"/>
      <c r="I103" s="29"/>
      <c r="J103" s="29" t="s">
        <v>324</v>
      </c>
      <c r="K103"/>
    </row>
    <row r="104" spans="1:11" ht="42">
      <c r="A104" s="30" t="s">
        <v>222</v>
      </c>
      <c r="B104" s="30" t="s">
        <v>223</v>
      </c>
      <c r="C104" s="31" t="s">
        <v>8</v>
      </c>
      <c r="D104" s="31" t="s">
        <v>325</v>
      </c>
      <c r="E104" s="32" t="s">
        <v>326</v>
      </c>
      <c r="F104" s="31" t="s">
        <v>327</v>
      </c>
      <c r="G104" s="33" t="s">
        <v>328</v>
      </c>
      <c r="H104" s="31" t="s">
        <v>329</v>
      </c>
      <c r="I104" s="31" t="s">
        <v>330</v>
      </c>
      <c r="J104" s="31" t="s">
        <v>331</v>
      </c>
      <c r="K104"/>
    </row>
    <row r="105" spans="1:11" ht="21">
      <c r="A105" s="130" t="s">
        <v>167</v>
      </c>
      <c r="B105" s="116">
        <v>1</v>
      </c>
      <c r="C105" s="62" t="s">
        <v>12</v>
      </c>
      <c r="D105" s="117"/>
      <c r="E105" s="62"/>
      <c r="F105" s="34" t="s">
        <v>209</v>
      </c>
      <c r="G105" s="31"/>
      <c r="H105" s="31"/>
      <c r="I105" s="31"/>
      <c r="J105" s="31"/>
      <c r="K105"/>
    </row>
    <row r="106" spans="1:11" ht="21">
      <c r="A106" s="131" t="s">
        <v>170</v>
      </c>
      <c r="B106" s="116">
        <v>2</v>
      </c>
      <c r="C106" s="62" t="s">
        <v>12</v>
      </c>
      <c r="D106" s="117"/>
      <c r="E106" s="62"/>
      <c r="F106" s="34" t="s">
        <v>209</v>
      </c>
      <c r="G106" s="31"/>
      <c r="H106" s="31"/>
      <c r="I106" s="31"/>
      <c r="J106" s="31"/>
      <c r="K106"/>
    </row>
    <row r="107" spans="1:11" ht="21">
      <c r="A107" s="132" t="s">
        <v>173</v>
      </c>
      <c r="B107" s="118">
        <v>3</v>
      </c>
      <c r="C107" s="120" t="s">
        <v>224</v>
      </c>
      <c r="D107" s="133"/>
      <c r="E107" s="120"/>
      <c r="F107" s="34" t="s">
        <v>209</v>
      </c>
      <c r="G107" s="31"/>
      <c r="H107" s="31"/>
      <c r="I107" s="31"/>
      <c r="J107" s="31"/>
      <c r="K107"/>
    </row>
    <row r="108" spans="1:11" ht="21">
      <c r="A108" s="134" t="s">
        <v>175</v>
      </c>
      <c r="B108" s="118">
        <v>4</v>
      </c>
      <c r="C108" s="120" t="s">
        <v>224</v>
      </c>
      <c r="D108" s="119"/>
      <c r="E108" s="120"/>
      <c r="F108" s="34" t="s">
        <v>209</v>
      </c>
      <c r="G108" s="31"/>
      <c r="H108" s="31"/>
      <c r="I108" s="31"/>
      <c r="J108" s="31"/>
      <c r="K108"/>
    </row>
    <row r="109" spans="1:11" ht="21">
      <c r="A109" s="132" t="s">
        <v>178</v>
      </c>
      <c r="B109" s="118">
        <v>5</v>
      </c>
      <c r="C109" s="120" t="s">
        <v>224</v>
      </c>
      <c r="D109" s="119"/>
      <c r="E109" s="120"/>
      <c r="F109" s="34" t="s">
        <v>209</v>
      </c>
      <c r="G109" s="35"/>
      <c r="H109" s="35"/>
      <c r="I109" s="35"/>
      <c r="J109" s="35"/>
      <c r="K109"/>
    </row>
    <row r="110" spans="1:11" ht="21">
      <c r="A110" s="130" t="s">
        <v>181</v>
      </c>
      <c r="B110" s="116">
        <v>6</v>
      </c>
      <c r="C110" s="62" t="s">
        <v>12</v>
      </c>
      <c r="D110" s="117"/>
      <c r="E110" s="62"/>
      <c r="F110" s="34" t="s">
        <v>209</v>
      </c>
      <c r="G110" s="31"/>
      <c r="H110" s="31"/>
      <c r="I110" s="31"/>
      <c r="J110" s="31"/>
      <c r="K110"/>
    </row>
    <row r="111" spans="1:11" ht="21">
      <c r="A111" s="131" t="s">
        <v>183</v>
      </c>
      <c r="B111" s="116">
        <v>7</v>
      </c>
      <c r="C111" s="62" t="s">
        <v>12</v>
      </c>
      <c r="D111" s="117"/>
      <c r="E111" s="62"/>
      <c r="F111" s="34" t="s">
        <v>209</v>
      </c>
      <c r="G111" s="31"/>
      <c r="H111" s="31"/>
      <c r="I111" s="31"/>
      <c r="J111" s="31"/>
      <c r="K111"/>
    </row>
    <row r="112" spans="1:11" ht="21">
      <c r="A112" s="130" t="s">
        <v>186</v>
      </c>
      <c r="B112" s="116">
        <v>8</v>
      </c>
      <c r="C112" s="62" t="s">
        <v>12</v>
      </c>
      <c r="D112" s="117"/>
      <c r="E112" s="62"/>
      <c r="F112" s="34" t="s">
        <v>209</v>
      </c>
      <c r="G112" s="31"/>
      <c r="H112" s="31"/>
      <c r="I112" s="31"/>
      <c r="J112" s="31"/>
      <c r="K112"/>
    </row>
    <row r="113" spans="1:11" ht="21">
      <c r="A113" s="130" t="s">
        <v>189</v>
      </c>
      <c r="B113" s="116">
        <v>9</v>
      </c>
      <c r="C113" s="62" t="s">
        <v>12</v>
      </c>
      <c r="D113" s="135"/>
      <c r="E113" s="62"/>
      <c r="F113" s="34" t="s">
        <v>209</v>
      </c>
      <c r="G113" s="31"/>
      <c r="H113" s="31"/>
      <c r="I113" s="31"/>
      <c r="J113" s="31"/>
      <c r="K113"/>
    </row>
    <row r="114" spans="1:11" ht="21">
      <c r="A114" s="130" t="s">
        <v>192</v>
      </c>
      <c r="B114" s="116">
        <v>10</v>
      </c>
      <c r="C114" s="62" t="s">
        <v>12</v>
      </c>
      <c r="D114" s="135"/>
      <c r="E114" s="62"/>
      <c r="F114" s="34" t="s">
        <v>209</v>
      </c>
      <c r="G114" s="31"/>
      <c r="H114" s="31"/>
      <c r="I114" s="31"/>
      <c r="J114" s="31"/>
      <c r="K114"/>
    </row>
    <row r="115" spans="1:11" ht="21">
      <c r="A115" s="132" t="s">
        <v>194</v>
      </c>
      <c r="B115" s="118">
        <v>11</v>
      </c>
      <c r="C115" s="120" t="s">
        <v>224</v>
      </c>
      <c r="D115" s="133"/>
      <c r="E115" s="120"/>
      <c r="F115" s="34" t="s">
        <v>209</v>
      </c>
      <c r="G115" s="31"/>
      <c r="H115" s="31"/>
      <c r="I115" s="31"/>
      <c r="J115" s="31"/>
      <c r="K115"/>
    </row>
    <row r="116" spans="1:11" ht="21">
      <c r="A116" s="132" t="s">
        <v>195</v>
      </c>
      <c r="B116" s="118">
        <v>12</v>
      </c>
      <c r="C116" s="120" t="s">
        <v>224</v>
      </c>
      <c r="D116" s="133"/>
      <c r="E116" s="120"/>
      <c r="F116" s="34" t="s">
        <v>209</v>
      </c>
      <c r="G116" s="31"/>
      <c r="H116" s="31"/>
      <c r="I116" s="31"/>
      <c r="J116" s="31"/>
      <c r="K116"/>
    </row>
    <row r="117" spans="1:11" ht="21">
      <c r="A117" s="130" t="s">
        <v>196</v>
      </c>
      <c r="B117" s="116">
        <v>13</v>
      </c>
      <c r="C117" s="62" t="s">
        <v>12</v>
      </c>
      <c r="D117" s="117"/>
      <c r="E117" s="62"/>
      <c r="F117" s="34" t="s">
        <v>209</v>
      </c>
      <c r="G117" s="31"/>
      <c r="H117" s="31"/>
      <c r="I117" s="31"/>
      <c r="J117" s="31"/>
      <c r="K117"/>
    </row>
    <row r="118" spans="1:11" ht="21">
      <c r="A118" s="131" t="s">
        <v>197</v>
      </c>
      <c r="B118" s="116">
        <v>14</v>
      </c>
      <c r="C118" s="62" t="s">
        <v>12</v>
      </c>
      <c r="D118" s="117"/>
      <c r="E118" s="62"/>
      <c r="F118" s="34" t="s">
        <v>209</v>
      </c>
      <c r="G118" s="31"/>
      <c r="H118" s="31"/>
      <c r="I118" s="31"/>
      <c r="J118" s="31"/>
      <c r="K118"/>
    </row>
    <row r="119" spans="1:11" ht="21">
      <c r="A119" s="130" t="s">
        <v>198</v>
      </c>
      <c r="B119" s="116">
        <v>15</v>
      </c>
      <c r="C119" s="62" t="s">
        <v>12</v>
      </c>
      <c r="D119" s="117"/>
      <c r="E119" s="62"/>
      <c r="F119" s="34" t="s">
        <v>209</v>
      </c>
      <c r="G119" s="31"/>
      <c r="H119" s="31"/>
      <c r="I119" s="31"/>
      <c r="J119" s="31"/>
      <c r="K119"/>
    </row>
    <row r="120" spans="1:11" ht="21">
      <c r="A120" s="131" t="s">
        <v>199</v>
      </c>
      <c r="B120" s="116">
        <v>16</v>
      </c>
      <c r="C120" s="62" t="s">
        <v>12</v>
      </c>
      <c r="D120" s="117"/>
      <c r="E120" s="62"/>
      <c r="F120" s="34" t="s">
        <v>209</v>
      </c>
      <c r="G120" s="31"/>
      <c r="H120" s="31"/>
      <c r="I120" s="31"/>
      <c r="J120" s="31"/>
      <c r="K120"/>
    </row>
    <row r="121" spans="1:11">
      <c r="B121" s="16"/>
      <c r="K121"/>
    </row>
    <row r="122" spans="1:11">
      <c r="B122" s="16"/>
      <c r="K122"/>
    </row>
    <row r="123" spans="1:11" ht="21">
      <c r="A123" s="26" t="s">
        <v>341</v>
      </c>
      <c r="B123" s="37"/>
      <c r="C123" s="27"/>
      <c r="D123" s="27"/>
      <c r="E123" s="27" t="s">
        <v>218</v>
      </c>
      <c r="F123" s="29"/>
      <c r="G123" s="29"/>
      <c r="H123" s="29"/>
      <c r="I123" s="29"/>
      <c r="J123" s="29" t="s">
        <v>324</v>
      </c>
      <c r="K123"/>
    </row>
    <row r="124" spans="1:11" ht="21" customHeight="1">
      <c r="A124" s="30" t="s">
        <v>222</v>
      </c>
      <c r="B124" s="30" t="s">
        <v>223</v>
      </c>
      <c r="C124" s="31" t="s">
        <v>8</v>
      </c>
      <c r="D124" s="31" t="s">
        <v>325</v>
      </c>
      <c r="E124" s="32" t="s">
        <v>326</v>
      </c>
      <c r="F124" s="31" t="s">
        <v>327</v>
      </c>
      <c r="G124" s="33" t="s">
        <v>328</v>
      </c>
      <c r="H124" s="31" t="s">
        <v>329</v>
      </c>
      <c r="I124" s="31" t="s">
        <v>330</v>
      </c>
      <c r="J124" s="31" t="s">
        <v>331</v>
      </c>
      <c r="K124"/>
    </row>
    <row r="125" spans="1:11" ht="21">
      <c r="A125" s="130" t="s">
        <v>167</v>
      </c>
      <c r="B125" s="116">
        <v>1</v>
      </c>
      <c r="C125" s="62" t="s">
        <v>12</v>
      </c>
      <c r="D125" s="117"/>
      <c r="E125" s="62"/>
      <c r="F125" s="34" t="s">
        <v>209</v>
      </c>
      <c r="G125" s="31"/>
      <c r="H125" s="31"/>
      <c r="I125" s="31"/>
      <c r="J125" s="31"/>
      <c r="K125"/>
    </row>
    <row r="126" spans="1:11" ht="21">
      <c r="A126" s="131" t="s">
        <v>170</v>
      </c>
      <c r="B126" s="116">
        <v>2</v>
      </c>
      <c r="C126" s="62" t="s">
        <v>12</v>
      </c>
      <c r="D126" s="117"/>
      <c r="E126" s="62"/>
      <c r="F126" s="34" t="s">
        <v>209</v>
      </c>
      <c r="G126" s="31"/>
      <c r="H126" s="31"/>
      <c r="I126" s="31"/>
      <c r="J126" s="31"/>
      <c r="K126"/>
    </row>
    <row r="127" spans="1:11" ht="21">
      <c r="A127" s="132" t="s">
        <v>173</v>
      </c>
      <c r="B127" s="118">
        <v>3</v>
      </c>
      <c r="C127" s="120" t="s">
        <v>224</v>
      </c>
      <c r="D127" s="133"/>
      <c r="E127" s="120"/>
      <c r="F127" s="34" t="s">
        <v>209</v>
      </c>
      <c r="G127" s="31"/>
      <c r="H127" s="31"/>
      <c r="I127" s="31"/>
      <c r="J127" s="31"/>
      <c r="K127"/>
    </row>
    <row r="128" spans="1:11" ht="21">
      <c r="A128" s="134" t="s">
        <v>175</v>
      </c>
      <c r="B128" s="118">
        <v>4</v>
      </c>
      <c r="C128" s="120" t="s">
        <v>224</v>
      </c>
      <c r="D128" s="119"/>
      <c r="E128" s="120"/>
      <c r="F128" s="34" t="s">
        <v>209</v>
      </c>
      <c r="G128" s="31"/>
      <c r="H128" s="31"/>
      <c r="I128" s="31"/>
      <c r="J128" s="31"/>
      <c r="K128"/>
    </row>
    <row r="129" spans="1:11" ht="21">
      <c r="A129" s="132" t="s">
        <v>178</v>
      </c>
      <c r="B129" s="118">
        <v>5</v>
      </c>
      <c r="C129" s="120" t="s">
        <v>224</v>
      </c>
      <c r="D129" s="119"/>
      <c r="E129" s="120"/>
      <c r="F129" s="34" t="s">
        <v>209</v>
      </c>
      <c r="G129" s="35"/>
      <c r="H129" s="35"/>
      <c r="I129" s="35"/>
      <c r="J129" s="35"/>
      <c r="K129"/>
    </row>
    <row r="130" spans="1:11" ht="21">
      <c r="A130" s="130" t="s">
        <v>181</v>
      </c>
      <c r="B130" s="116">
        <v>6</v>
      </c>
      <c r="C130" s="62" t="s">
        <v>12</v>
      </c>
      <c r="D130" s="117"/>
      <c r="E130" s="62"/>
      <c r="F130" s="34" t="s">
        <v>209</v>
      </c>
      <c r="G130" s="31"/>
      <c r="H130" s="31"/>
      <c r="I130" s="31"/>
      <c r="J130" s="31"/>
      <c r="K130"/>
    </row>
    <row r="131" spans="1:11" ht="21">
      <c r="A131" s="131" t="s">
        <v>183</v>
      </c>
      <c r="B131" s="116">
        <v>7</v>
      </c>
      <c r="C131" s="62" t="s">
        <v>12</v>
      </c>
      <c r="D131" s="117"/>
      <c r="E131" s="62"/>
      <c r="F131" s="34" t="s">
        <v>209</v>
      </c>
      <c r="G131" s="31"/>
      <c r="H131" s="31"/>
      <c r="I131" s="31"/>
      <c r="J131" s="31"/>
      <c r="K131"/>
    </row>
    <row r="132" spans="1:11" ht="21">
      <c r="A132" s="130" t="s">
        <v>186</v>
      </c>
      <c r="B132" s="116">
        <v>8</v>
      </c>
      <c r="C132" s="62" t="s">
        <v>12</v>
      </c>
      <c r="D132" s="117"/>
      <c r="E132" s="62"/>
      <c r="F132" s="34" t="s">
        <v>209</v>
      </c>
      <c r="G132" s="31"/>
      <c r="H132" s="31"/>
      <c r="I132" s="31"/>
      <c r="J132" s="31"/>
      <c r="K132"/>
    </row>
    <row r="133" spans="1:11" ht="21">
      <c r="A133" s="130" t="s">
        <v>189</v>
      </c>
      <c r="B133" s="116">
        <v>9</v>
      </c>
      <c r="C133" s="62" t="s">
        <v>12</v>
      </c>
      <c r="D133" s="135"/>
      <c r="E133" s="62"/>
      <c r="F133" s="34" t="s">
        <v>209</v>
      </c>
      <c r="G133" s="31"/>
      <c r="H133" s="31"/>
      <c r="I133" s="31"/>
      <c r="J133" s="31"/>
      <c r="K133"/>
    </row>
    <row r="134" spans="1:11" ht="21">
      <c r="A134" s="130" t="s">
        <v>192</v>
      </c>
      <c r="B134" s="116">
        <v>10</v>
      </c>
      <c r="C134" s="62" t="s">
        <v>12</v>
      </c>
      <c r="D134" s="135"/>
      <c r="E134" s="62"/>
      <c r="F134" s="34" t="s">
        <v>209</v>
      </c>
      <c r="G134" s="31"/>
      <c r="H134" s="31"/>
      <c r="I134" s="31"/>
      <c r="J134" s="31"/>
      <c r="K134"/>
    </row>
    <row r="135" spans="1:11" ht="21">
      <c r="A135" s="132" t="s">
        <v>194</v>
      </c>
      <c r="B135" s="118">
        <v>11</v>
      </c>
      <c r="C135" s="120" t="s">
        <v>224</v>
      </c>
      <c r="D135" s="133"/>
      <c r="E135" s="120"/>
      <c r="F135" s="34" t="s">
        <v>209</v>
      </c>
      <c r="G135" s="31"/>
      <c r="H135" s="31"/>
      <c r="I135" s="31"/>
      <c r="J135" s="31"/>
      <c r="K135"/>
    </row>
    <row r="136" spans="1:11" ht="21">
      <c r="A136" s="132" t="s">
        <v>195</v>
      </c>
      <c r="B136" s="118">
        <v>12</v>
      </c>
      <c r="C136" s="120" t="s">
        <v>224</v>
      </c>
      <c r="D136" s="133"/>
      <c r="E136" s="120"/>
      <c r="F136" s="34" t="s">
        <v>209</v>
      </c>
      <c r="G136" s="31"/>
      <c r="H136" s="31"/>
      <c r="I136" s="31"/>
      <c r="J136" s="31"/>
      <c r="K136"/>
    </row>
    <row r="137" spans="1:11" ht="21">
      <c r="A137" s="130" t="s">
        <v>196</v>
      </c>
      <c r="B137" s="116">
        <v>13</v>
      </c>
      <c r="C137" s="62" t="s">
        <v>12</v>
      </c>
      <c r="D137" s="117"/>
      <c r="E137" s="62"/>
      <c r="F137" s="34" t="s">
        <v>209</v>
      </c>
      <c r="G137" s="31"/>
      <c r="H137" s="31"/>
      <c r="I137" s="31"/>
      <c r="J137" s="31"/>
      <c r="K137"/>
    </row>
    <row r="138" spans="1:11" ht="21">
      <c r="A138" s="131" t="s">
        <v>197</v>
      </c>
      <c r="B138" s="116">
        <v>14</v>
      </c>
      <c r="C138" s="62" t="s">
        <v>12</v>
      </c>
      <c r="D138" s="117"/>
      <c r="E138" s="62"/>
      <c r="F138" s="34" t="s">
        <v>209</v>
      </c>
      <c r="G138" s="31"/>
      <c r="H138" s="31"/>
      <c r="I138" s="31"/>
      <c r="J138" s="31"/>
      <c r="K138"/>
    </row>
    <row r="139" spans="1:11" ht="21">
      <c r="A139" s="130" t="s">
        <v>198</v>
      </c>
      <c r="B139" s="116">
        <v>15</v>
      </c>
      <c r="C139" s="62" t="s">
        <v>12</v>
      </c>
      <c r="D139" s="117"/>
      <c r="E139" s="62"/>
      <c r="F139" s="34" t="s">
        <v>209</v>
      </c>
      <c r="G139" s="31"/>
      <c r="H139" s="31"/>
      <c r="I139" s="31"/>
      <c r="J139" s="31"/>
      <c r="K139"/>
    </row>
    <row r="140" spans="1:11" ht="21">
      <c r="A140" s="131" t="s">
        <v>199</v>
      </c>
      <c r="B140" s="116">
        <v>16</v>
      </c>
      <c r="C140" s="62" t="s">
        <v>12</v>
      </c>
      <c r="D140" s="117"/>
      <c r="E140" s="62"/>
      <c r="F140" s="34" t="s">
        <v>209</v>
      </c>
      <c r="G140" s="31"/>
      <c r="H140" s="31"/>
      <c r="I140" s="31"/>
      <c r="J140" s="31"/>
      <c r="K140"/>
    </row>
    <row r="141" spans="1:11">
      <c r="B141" s="16"/>
      <c r="K141"/>
    </row>
    <row r="142" spans="1:11" ht="18.75" customHeight="1">
      <c r="B142" s="16"/>
      <c r="K142"/>
    </row>
    <row r="143" spans="1:11" ht="21" customHeight="1">
      <c r="A143" s="26" t="s">
        <v>342</v>
      </c>
      <c r="B143" s="37"/>
      <c r="C143" s="27"/>
      <c r="D143" s="37"/>
      <c r="E143" s="27" t="s">
        <v>219</v>
      </c>
      <c r="F143" s="28" t="s">
        <v>343</v>
      </c>
      <c r="G143" s="29"/>
      <c r="H143" s="29"/>
      <c r="I143" s="29"/>
      <c r="J143" s="29" t="s">
        <v>324</v>
      </c>
      <c r="K143"/>
    </row>
    <row r="144" spans="1:11" ht="21" customHeight="1">
      <c r="A144" s="30" t="s">
        <v>222</v>
      </c>
      <c r="B144" s="30" t="s">
        <v>223</v>
      </c>
      <c r="C144" s="31" t="s">
        <v>8</v>
      </c>
      <c r="D144" s="31" t="s">
        <v>325</v>
      </c>
      <c r="E144" s="32" t="s">
        <v>326</v>
      </c>
      <c r="F144" s="31" t="s">
        <v>327</v>
      </c>
      <c r="G144" s="33" t="s">
        <v>328</v>
      </c>
      <c r="H144" s="31" t="s">
        <v>329</v>
      </c>
      <c r="I144" s="31" t="s">
        <v>330</v>
      </c>
      <c r="J144" s="31" t="s">
        <v>331</v>
      </c>
      <c r="K144"/>
    </row>
    <row r="145" spans="1:11" ht="21">
      <c r="A145" s="130" t="s">
        <v>167</v>
      </c>
      <c r="B145" s="116">
        <v>1</v>
      </c>
      <c r="C145" s="62" t="s">
        <v>12</v>
      </c>
      <c r="D145" s="117"/>
      <c r="E145" s="62"/>
      <c r="F145" s="34" t="s">
        <v>209</v>
      </c>
      <c r="G145" s="31"/>
      <c r="H145" s="31"/>
      <c r="I145" s="31"/>
      <c r="J145" s="31"/>
      <c r="K145"/>
    </row>
    <row r="146" spans="1:11" ht="21">
      <c r="A146" s="131" t="s">
        <v>170</v>
      </c>
      <c r="B146" s="116">
        <v>2</v>
      </c>
      <c r="C146" s="62" t="s">
        <v>12</v>
      </c>
      <c r="D146" s="117"/>
      <c r="E146" s="62"/>
      <c r="F146" s="34" t="s">
        <v>209</v>
      </c>
      <c r="G146" s="31"/>
      <c r="H146" s="31"/>
      <c r="I146" s="31"/>
      <c r="J146" s="31"/>
      <c r="K146"/>
    </row>
    <row r="147" spans="1:11" ht="21">
      <c r="A147" s="132" t="s">
        <v>173</v>
      </c>
      <c r="B147" s="118">
        <v>3</v>
      </c>
      <c r="C147" s="120" t="s">
        <v>224</v>
      </c>
      <c r="D147" s="133"/>
      <c r="E147" s="120"/>
      <c r="F147" s="34" t="s">
        <v>209</v>
      </c>
      <c r="G147" s="31"/>
      <c r="H147" s="31"/>
      <c r="I147" s="31"/>
      <c r="J147" s="31"/>
      <c r="K147"/>
    </row>
    <row r="148" spans="1:11" ht="21">
      <c r="A148" s="134" t="s">
        <v>175</v>
      </c>
      <c r="B148" s="118">
        <v>4</v>
      </c>
      <c r="C148" s="120" t="s">
        <v>224</v>
      </c>
      <c r="D148" s="119"/>
      <c r="E148" s="120"/>
      <c r="F148" s="34" t="s">
        <v>209</v>
      </c>
      <c r="G148" s="31"/>
      <c r="H148" s="31"/>
      <c r="I148" s="31"/>
      <c r="J148" s="31"/>
      <c r="K148"/>
    </row>
    <row r="149" spans="1:11" ht="21">
      <c r="A149" s="132" t="s">
        <v>178</v>
      </c>
      <c r="B149" s="118">
        <v>5</v>
      </c>
      <c r="C149" s="120" t="s">
        <v>224</v>
      </c>
      <c r="D149" s="119"/>
      <c r="E149" s="120"/>
      <c r="F149" s="34" t="s">
        <v>209</v>
      </c>
      <c r="G149" s="35"/>
      <c r="H149" s="35"/>
      <c r="I149" s="35"/>
      <c r="J149" s="35"/>
      <c r="K149"/>
    </row>
    <row r="150" spans="1:11" ht="21">
      <c r="A150" s="130" t="s">
        <v>181</v>
      </c>
      <c r="B150" s="116">
        <v>6</v>
      </c>
      <c r="C150" s="62" t="s">
        <v>12</v>
      </c>
      <c r="D150" s="117"/>
      <c r="E150" s="62"/>
      <c r="F150" s="34" t="s">
        <v>209</v>
      </c>
      <c r="G150" s="31"/>
      <c r="H150" s="31"/>
      <c r="I150" s="31"/>
      <c r="J150" s="31"/>
      <c r="K150"/>
    </row>
    <row r="151" spans="1:11" ht="21">
      <c r="A151" s="131" t="s">
        <v>183</v>
      </c>
      <c r="B151" s="116">
        <v>7</v>
      </c>
      <c r="C151" s="62" t="s">
        <v>12</v>
      </c>
      <c r="D151" s="117"/>
      <c r="E151" s="62"/>
      <c r="F151" s="34" t="s">
        <v>209</v>
      </c>
      <c r="G151" s="31"/>
      <c r="H151" s="31"/>
      <c r="I151" s="31"/>
      <c r="J151" s="31"/>
      <c r="K151"/>
    </row>
    <row r="152" spans="1:11" ht="21">
      <c r="A152" s="130" t="s">
        <v>186</v>
      </c>
      <c r="B152" s="116">
        <v>8</v>
      </c>
      <c r="C152" s="62" t="s">
        <v>12</v>
      </c>
      <c r="D152" s="117"/>
      <c r="E152" s="62"/>
      <c r="F152" s="34" t="s">
        <v>209</v>
      </c>
      <c r="G152" s="31"/>
      <c r="H152" s="31"/>
      <c r="I152" s="31"/>
      <c r="J152" s="31"/>
      <c r="K152"/>
    </row>
    <row r="153" spans="1:11" ht="21">
      <c r="A153" s="130" t="s">
        <v>189</v>
      </c>
      <c r="B153" s="116">
        <v>9</v>
      </c>
      <c r="C153" s="62" t="s">
        <v>12</v>
      </c>
      <c r="D153" s="135"/>
      <c r="E153" s="62"/>
      <c r="F153" s="34" t="s">
        <v>209</v>
      </c>
      <c r="G153" s="31"/>
      <c r="H153" s="31"/>
      <c r="I153" s="31"/>
      <c r="J153" s="31"/>
      <c r="K153"/>
    </row>
    <row r="154" spans="1:11" ht="21">
      <c r="A154" s="130" t="s">
        <v>192</v>
      </c>
      <c r="B154" s="116">
        <v>10</v>
      </c>
      <c r="C154" s="62" t="s">
        <v>12</v>
      </c>
      <c r="D154" s="135"/>
      <c r="E154" s="62"/>
      <c r="F154" s="34" t="s">
        <v>209</v>
      </c>
      <c r="G154" s="31"/>
      <c r="H154" s="31"/>
      <c r="I154" s="31"/>
      <c r="J154" s="31"/>
      <c r="K154"/>
    </row>
    <row r="155" spans="1:11" ht="21">
      <c r="A155" s="132" t="s">
        <v>194</v>
      </c>
      <c r="B155" s="118">
        <v>11</v>
      </c>
      <c r="C155" s="120" t="s">
        <v>224</v>
      </c>
      <c r="D155" s="133"/>
      <c r="E155" s="120"/>
      <c r="F155" s="34" t="s">
        <v>209</v>
      </c>
      <c r="G155" s="31"/>
      <c r="H155" s="31"/>
      <c r="I155" s="31"/>
      <c r="J155" s="31"/>
      <c r="K155"/>
    </row>
    <row r="156" spans="1:11" ht="21">
      <c r="A156" s="132" t="s">
        <v>195</v>
      </c>
      <c r="B156" s="118">
        <v>12</v>
      </c>
      <c r="C156" s="120" t="s">
        <v>224</v>
      </c>
      <c r="D156" s="133"/>
      <c r="E156" s="120"/>
      <c r="F156" s="34" t="s">
        <v>209</v>
      </c>
      <c r="G156" s="31"/>
      <c r="H156" s="31"/>
      <c r="I156" s="31"/>
      <c r="J156" s="31"/>
      <c r="K156"/>
    </row>
    <row r="157" spans="1:11" ht="21">
      <c r="A157" s="130" t="s">
        <v>196</v>
      </c>
      <c r="B157" s="116">
        <v>13</v>
      </c>
      <c r="C157" s="62" t="s">
        <v>12</v>
      </c>
      <c r="D157" s="117"/>
      <c r="E157" s="62"/>
      <c r="F157" s="34" t="s">
        <v>209</v>
      </c>
      <c r="G157" s="31"/>
      <c r="H157" s="31"/>
      <c r="I157" s="31"/>
      <c r="J157" s="31"/>
      <c r="K157"/>
    </row>
    <row r="158" spans="1:11" ht="21">
      <c r="A158" s="131" t="s">
        <v>197</v>
      </c>
      <c r="B158" s="116">
        <v>14</v>
      </c>
      <c r="C158" s="62" t="s">
        <v>12</v>
      </c>
      <c r="D158" s="117"/>
      <c r="E158" s="62"/>
      <c r="F158" s="34" t="s">
        <v>209</v>
      </c>
      <c r="G158" s="31"/>
      <c r="H158" s="31"/>
      <c r="I158" s="31"/>
      <c r="J158" s="31"/>
      <c r="K158"/>
    </row>
    <row r="159" spans="1:11" ht="21">
      <c r="A159" s="130" t="s">
        <v>198</v>
      </c>
      <c r="B159" s="116">
        <v>15</v>
      </c>
      <c r="C159" s="62" t="s">
        <v>12</v>
      </c>
      <c r="D159" s="117"/>
      <c r="E159" s="62"/>
      <c r="F159" s="34" t="s">
        <v>209</v>
      </c>
      <c r="G159" s="31"/>
      <c r="H159" s="31"/>
      <c r="I159" s="31"/>
      <c r="J159" s="31"/>
      <c r="K159"/>
    </row>
    <row r="160" spans="1:11" ht="21">
      <c r="A160" s="131" t="s">
        <v>199</v>
      </c>
      <c r="B160" s="116">
        <v>16</v>
      </c>
      <c r="C160" s="62" t="s">
        <v>12</v>
      </c>
      <c r="D160" s="117"/>
      <c r="E160" s="62"/>
      <c r="F160" s="34" t="s">
        <v>209</v>
      </c>
      <c r="G160" s="31"/>
      <c r="H160" s="31"/>
      <c r="I160" s="31"/>
      <c r="J160" s="31"/>
      <c r="K160"/>
    </row>
    <row r="161" spans="1:11">
      <c r="A161"/>
      <c r="B161"/>
      <c r="C161"/>
      <c r="D161"/>
      <c r="E161"/>
      <c r="F161"/>
      <c r="G161"/>
      <c r="H161"/>
      <c r="I161"/>
      <c r="J161"/>
      <c r="K161"/>
    </row>
    <row r="162" spans="1:11">
      <c r="A162"/>
      <c r="B162"/>
      <c r="C162"/>
      <c r="D162"/>
      <c r="E162"/>
      <c r="F162"/>
      <c r="G162"/>
      <c r="H162"/>
      <c r="I162"/>
      <c r="J162"/>
      <c r="K162"/>
    </row>
    <row r="163" spans="1:11" ht="126">
      <c r="A163" s="26" t="s">
        <v>344</v>
      </c>
      <c r="B163" s="37"/>
      <c r="C163" s="27"/>
      <c r="D163" s="36" t="s">
        <v>335</v>
      </c>
      <c r="E163" s="27" t="s">
        <v>220</v>
      </c>
      <c r="G163" s="29"/>
      <c r="H163" s="29"/>
      <c r="I163" s="29"/>
      <c r="J163" s="29" t="s">
        <v>324</v>
      </c>
      <c r="K163"/>
    </row>
    <row r="164" spans="1:11" ht="42">
      <c r="A164" s="30" t="s">
        <v>222</v>
      </c>
      <c r="B164" s="30" t="s">
        <v>223</v>
      </c>
      <c r="C164" s="31" t="s">
        <v>8</v>
      </c>
      <c r="D164" s="31" t="s">
        <v>325</v>
      </c>
      <c r="E164" s="32" t="s">
        <v>326</v>
      </c>
      <c r="F164" s="31" t="s">
        <v>327</v>
      </c>
      <c r="G164" s="33" t="s">
        <v>328</v>
      </c>
      <c r="H164" s="31" t="s">
        <v>329</v>
      </c>
      <c r="I164" s="31" t="s">
        <v>330</v>
      </c>
      <c r="J164" s="31" t="s">
        <v>331</v>
      </c>
      <c r="K164"/>
    </row>
    <row r="165" spans="1:11" ht="21">
      <c r="A165" s="130" t="s">
        <v>167</v>
      </c>
      <c r="B165" s="116">
        <v>1</v>
      </c>
      <c r="C165" s="62" t="s">
        <v>12</v>
      </c>
      <c r="D165" s="117"/>
      <c r="E165" s="62"/>
      <c r="F165" s="34" t="s">
        <v>209</v>
      </c>
      <c r="G165" s="31"/>
      <c r="H165" s="31"/>
      <c r="I165" s="31"/>
      <c r="J165" s="31"/>
      <c r="K165"/>
    </row>
    <row r="166" spans="1:11" ht="21">
      <c r="A166" s="131" t="s">
        <v>170</v>
      </c>
      <c r="B166" s="116">
        <v>2</v>
      </c>
      <c r="C166" s="62" t="s">
        <v>12</v>
      </c>
      <c r="D166" s="117"/>
      <c r="E166" s="62"/>
      <c r="F166" s="34" t="s">
        <v>209</v>
      </c>
      <c r="G166" s="31"/>
      <c r="H166" s="31"/>
      <c r="I166" s="31"/>
      <c r="J166" s="31"/>
      <c r="K166"/>
    </row>
    <row r="167" spans="1:11" ht="21">
      <c r="A167" s="132" t="s">
        <v>173</v>
      </c>
      <c r="B167" s="118">
        <v>3</v>
      </c>
      <c r="C167" s="120" t="s">
        <v>224</v>
      </c>
      <c r="D167" s="133"/>
      <c r="E167" s="120"/>
      <c r="F167" s="34" t="s">
        <v>209</v>
      </c>
      <c r="G167" s="31"/>
      <c r="H167" s="31"/>
      <c r="I167" s="31"/>
      <c r="J167" s="31"/>
      <c r="K167"/>
    </row>
    <row r="168" spans="1:11" ht="21">
      <c r="A168" s="134" t="s">
        <v>175</v>
      </c>
      <c r="B168" s="118">
        <v>4</v>
      </c>
      <c r="C168" s="120" t="s">
        <v>224</v>
      </c>
      <c r="D168" s="119"/>
      <c r="E168" s="120"/>
      <c r="F168" s="34" t="s">
        <v>209</v>
      </c>
      <c r="G168" s="31"/>
      <c r="H168" s="31"/>
      <c r="I168" s="31"/>
      <c r="J168" s="31"/>
      <c r="K168"/>
    </row>
    <row r="169" spans="1:11" ht="21">
      <c r="A169" s="132" t="s">
        <v>178</v>
      </c>
      <c r="B169" s="118">
        <v>5</v>
      </c>
      <c r="C169" s="120" t="s">
        <v>224</v>
      </c>
      <c r="D169" s="119"/>
      <c r="E169" s="120"/>
      <c r="F169" s="34" t="s">
        <v>209</v>
      </c>
      <c r="G169" s="35"/>
      <c r="H169" s="35"/>
      <c r="I169" s="35"/>
      <c r="J169" s="35"/>
      <c r="K169"/>
    </row>
    <row r="170" spans="1:11" ht="21">
      <c r="A170" s="130" t="s">
        <v>181</v>
      </c>
      <c r="B170" s="116">
        <v>6</v>
      </c>
      <c r="C170" s="62" t="s">
        <v>12</v>
      </c>
      <c r="D170" s="117"/>
      <c r="E170" s="62"/>
      <c r="F170" s="34" t="s">
        <v>209</v>
      </c>
      <c r="G170" s="31"/>
      <c r="H170" s="31"/>
      <c r="I170" s="31"/>
      <c r="J170" s="31"/>
      <c r="K170"/>
    </row>
    <row r="171" spans="1:11" ht="21">
      <c r="A171" s="131" t="s">
        <v>183</v>
      </c>
      <c r="B171" s="116">
        <v>7</v>
      </c>
      <c r="C171" s="62" t="s">
        <v>12</v>
      </c>
      <c r="D171" s="117"/>
      <c r="E171" s="62"/>
      <c r="F171" s="34" t="s">
        <v>209</v>
      </c>
      <c r="G171" s="31"/>
      <c r="H171" s="31"/>
      <c r="I171" s="31"/>
      <c r="J171" s="31"/>
      <c r="K171"/>
    </row>
    <row r="172" spans="1:11" ht="21">
      <c r="A172" s="130" t="s">
        <v>186</v>
      </c>
      <c r="B172" s="116">
        <v>8</v>
      </c>
      <c r="C172" s="62" t="s">
        <v>12</v>
      </c>
      <c r="D172" s="117"/>
      <c r="E172" s="62"/>
      <c r="F172" s="34" t="s">
        <v>209</v>
      </c>
      <c r="G172" s="31"/>
      <c r="H172" s="31"/>
      <c r="I172" s="31"/>
      <c r="J172" s="31"/>
      <c r="K172"/>
    </row>
    <row r="173" spans="1:11" ht="21">
      <c r="A173" s="130" t="s">
        <v>189</v>
      </c>
      <c r="B173" s="116">
        <v>9</v>
      </c>
      <c r="C173" s="62" t="s">
        <v>12</v>
      </c>
      <c r="D173" s="135"/>
      <c r="E173" s="62"/>
      <c r="F173" s="34" t="s">
        <v>209</v>
      </c>
      <c r="G173" s="31"/>
      <c r="H173" s="31"/>
      <c r="I173" s="31"/>
      <c r="J173" s="31"/>
      <c r="K173"/>
    </row>
    <row r="174" spans="1:11" ht="21">
      <c r="A174" s="130" t="s">
        <v>192</v>
      </c>
      <c r="B174" s="116">
        <v>10</v>
      </c>
      <c r="C174" s="62" t="s">
        <v>12</v>
      </c>
      <c r="D174" s="135"/>
      <c r="E174" s="62"/>
      <c r="F174" s="34" t="s">
        <v>209</v>
      </c>
      <c r="G174" s="31"/>
      <c r="H174" s="31"/>
      <c r="I174" s="31"/>
      <c r="J174" s="31"/>
      <c r="K174"/>
    </row>
    <row r="175" spans="1:11" ht="21">
      <c r="A175" s="132" t="s">
        <v>194</v>
      </c>
      <c r="B175" s="118">
        <v>11</v>
      </c>
      <c r="C175" s="120" t="s">
        <v>224</v>
      </c>
      <c r="D175" s="133"/>
      <c r="E175" s="120"/>
      <c r="F175" s="34" t="s">
        <v>209</v>
      </c>
      <c r="G175" s="31"/>
      <c r="H175" s="31"/>
      <c r="I175" s="31"/>
      <c r="J175" s="31"/>
      <c r="K175"/>
    </row>
    <row r="176" spans="1:11" ht="21">
      <c r="A176" s="132" t="s">
        <v>195</v>
      </c>
      <c r="B176" s="118">
        <v>12</v>
      </c>
      <c r="C176" s="120" t="s">
        <v>224</v>
      </c>
      <c r="D176" s="133"/>
      <c r="E176" s="120"/>
      <c r="F176" s="34" t="s">
        <v>209</v>
      </c>
      <c r="G176" s="31"/>
      <c r="H176" s="31"/>
      <c r="I176" s="31"/>
      <c r="J176" s="31"/>
      <c r="K176"/>
    </row>
    <row r="177" spans="1:11" ht="21">
      <c r="A177" s="130" t="s">
        <v>196</v>
      </c>
      <c r="B177" s="116">
        <v>13</v>
      </c>
      <c r="C177" s="62" t="s">
        <v>12</v>
      </c>
      <c r="D177" s="117"/>
      <c r="E177" s="62"/>
      <c r="F177" s="34" t="s">
        <v>209</v>
      </c>
      <c r="G177" s="31"/>
      <c r="H177" s="31"/>
      <c r="I177" s="31"/>
      <c r="J177" s="31"/>
      <c r="K177"/>
    </row>
    <row r="178" spans="1:11" ht="21">
      <c r="A178" s="131" t="s">
        <v>197</v>
      </c>
      <c r="B178" s="116">
        <v>14</v>
      </c>
      <c r="C178" s="62" t="s">
        <v>12</v>
      </c>
      <c r="D178" s="117"/>
      <c r="E178" s="62"/>
      <c r="F178" s="34" t="s">
        <v>209</v>
      </c>
      <c r="G178" s="31"/>
      <c r="H178" s="31"/>
      <c r="I178" s="31"/>
      <c r="J178" s="31"/>
      <c r="K178"/>
    </row>
    <row r="179" spans="1:11" ht="21">
      <c r="A179" s="130" t="s">
        <v>198</v>
      </c>
      <c r="B179" s="116">
        <v>15</v>
      </c>
      <c r="C179" s="62" t="s">
        <v>12</v>
      </c>
      <c r="D179" s="117"/>
      <c r="E179" s="62"/>
      <c r="F179" s="34" t="s">
        <v>209</v>
      </c>
      <c r="G179" s="31"/>
      <c r="H179" s="31"/>
      <c r="I179" s="31"/>
      <c r="J179" s="31"/>
      <c r="K179"/>
    </row>
    <row r="180" spans="1:11" ht="21">
      <c r="A180" s="131" t="s">
        <v>199</v>
      </c>
      <c r="B180" s="116">
        <v>16</v>
      </c>
      <c r="C180" s="62" t="s">
        <v>12</v>
      </c>
      <c r="D180" s="117"/>
      <c r="E180" s="62"/>
      <c r="F180" s="34" t="s">
        <v>209</v>
      </c>
      <c r="G180" s="31"/>
      <c r="H180" s="31"/>
      <c r="I180" s="31"/>
      <c r="J180" s="31"/>
      <c r="K180"/>
    </row>
    <row r="181" spans="1:11">
      <c r="B181" s="16"/>
      <c r="K181"/>
    </row>
    <row r="182" spans="1:11">
      <c r="B182" s="16"/>
      <c r="K182"/>
    </row>
    <row r="183" spans="1:11" ht="21">
      <c r="A183" s="26" t="s">
        <v>345</v>
      </c>
      <c r="B183" s="37"/>
      <c r="C183" s="27"/>
      <c r="D183" s="27"/>
      <c r="E183" s="27" t="s">
        <v>221</v>
      </c>
      <c r="F183" s="29"/>
      <c r="G183" s="29"/>
      <c r="H183" s="29"/>
      <c r="I183" s="29"/>
      <c r="J183" s="29" t="s">
        <v>324</v>
      </c>
      <c r="K183"/>
    </row>
    <row r="184" spans="1:11" ht="42">
      <c r="A184" s="30" t="s">
        <v>222</v>
      </c>
      <c r="B184" s="30" t="s">
        <v>223</v>
      </c>
      <c r="C184" s="31" t="s">
        <v>8</v>
      </c>
      <c r="D184" s="31" t="s">
        <v>325</v>
      </c>
      <c r="E184" s="32" t="s">
        <v>326</v>
      </c>
      <c r="F184" s="31" t="s">
        <v>327</v>
      </c>
      <c r="G184" s="33" t="s">
        <v>328</v>
      </c>
      <c r="H184" s="31" t="s">
        <v>329</v>
      </c>
      <c r="I184" s="31" t="s">
        <v>330</v>
      </c>
      <c r="J184" s="31" t="s">
        <v>331</v>
      </c>
      <c r="K184"/>
    </row>
    <row r="185" spans="1:11" ht="21">
      <c r="A185" s="130" t="s">
        <v>167</v>
      </c>
      <c r="B185" s="116">
        <v>1</v>
      </c>
      <c r="C185" s="62" t="s">
        <v>12</v>
      </c>
      <c r="D185" s="117"/>
      <c r="E185" s="62"/>
      <c r="F185" s="34" t="s">
        <v>209</v>
      </c>
      <c r="G185" s="31"/>
      <c r="H185" s="31"/>
      <c r="I185" s="31"/>
      <c r="J185" s="31"/>
      <c r="K185"/>
    </row>
    <row r="186" spans="1:11" ht="21">
      <c r="A186" s="131" t="s">
        <v>170</v>
      </c>
      <c r="B186" s="116">
        <v>2</v>
      </c>
      <c r="C186" s="62" t="s">
        <v>12</v>
      </c>
      <c r="D186" s="117"/>
      <c r="E186" s="62"/>
      <c r="F186" s="34" t="s">
        <v>209</v>
      </c>
      <c r="G186" s="31"/>
      <c r="H186" s="31"/>
      <c r="I186" s="31"/>
      <c r="J186" s="31"/>
      <c r="K186"/>
    </row>
    <row r="187" spans="1:11" ht="21">
      <c r="A187" s="132" t="s">
        <v>173</v>
      </c>
      <c r="B187" s="118">
        <v>3</v>
      </c>
      <c r="C187" s="120" t="s">
        <v>224</v>
      </c>
      <c r="D187" s="133"/>
      <c r="E187" s="120"/>
      <c r="F187" s="34" t="s">
        <v>209</v>
      </c>
      <c r="G187" s="31"/>
      <c r="H187" s="31"/>
      <c r="I187" s="31"/>
      <c r="J187" s="31"/>
      <c r="K187"/>
    </row>
    <row r="188" spans="1:11" ht="21" customHeight="1">
      <c r="A188" s="134" t="s">
        <v>175</v>
      </c>
      <c r="B188" s="118">
        <v>4</v>
      </c>
      <c r="C188" s="120" t="s">
        <v>224</v>
      </c>
      <c r="D188" s="119"/>
      <c r="E188" s="120"/>
      <c r="F188" s="34" t="s">
        <v>209</v>
      </c>
      <c r="G188" s="31"/>
      <c r="H188" s="31"/>
      <c r="I188" s="31"/>
      <c r="J188" s="31"/>
      <c r="K188"/>
    </row>
    <row r="189" spans="1:11" ht="36.950000000000003" customHeight="1">
      <c r="A189" s="132" t="s">
        <v>178</v>
      </c>
      <c r="B189" s="118">
        <v>5</v>
      </c>
      <c r="C189" s="120" t="s">
        <v>224</v>
      </c>
      <c r="D189" s="119"/>
      <c r="E189" s="120"/>
      <c r="F189" s="34" t="s">
        <v>209</v>
      </c>
      <c r="G189" s="35"/>
      <c r="H189" s="35"/>
      <c r="I189" s="35"/>
      <c r="J189" s="35"/>
      <c r="K189"/>
    </row>
    <row r="190" spans="1:11" ht="21">
      <c r="A190" s="130" t="s">
        <v>181</v>
      </c>
      <c r="B190" s="116">
        <v>6</v>
      </c>
      <c r="C190" s="62" t="s">
        <v>12</v>
      </c>
      <c r="D190" s="117"/>
      <c r="E190" s="62"/>
      <c r="F190" s="34" t="s">
        <v>209</v>
      </c>
      <c r="G190" s="31"/>
      <c r="H190" s="31"/>
      <c r="I190" s="31"/>
      <c r="J190" s="31"/>
      <c r="K190"/>
    </row>
    <row r="191" spans="1:11" ht="21">
      <c r="A191" s="131" t="s">
        <v>183</v>
      </c>
      <c r="B191" s="116">
        <v>7</v>
      </c>
      <c r="C191" s="62" t="s">
        <v>12</v>
      </c>
      <c r="D191" s="117"/>
      <c r="E191" s="62"/>
      <c r="F191" s="34" t="s">
        <v>209</v>
      </c>
      <c r="G191" s="31"/>
      <c r="H191" s="31"/>
      <c r="I191" s="31"/>
      <c r="J191" s="31"/>
      <c r="K191"/>
    </row>
    <row r="192" spans="1:11" ht="21">
      <c r="A192" s="130" t="s">
        <v>186</v>
      </c>
      <c r="B192" s="116">
        <v>8</v>
      </c>
      <c r="C192" s="62" t="s">
        <v>12</v>
      </c>
      <c r="D192" s="117"/>
      <c r="E192" s="62"/>
      <c r="F192" s="34" t="s">
        <v>209</v>
      </c>
      <c r="G192" s="31"/>
      <c r="H192" s="31"/>
      <c r="I192" s="31"/>
      <c r="J192" s="31"/>
      <c r="K192"/>
    </row>
    <row r="193" spans="1:11" ht="21">
      <c r="A193" s="130" t="s">
        <v>189</v>
      </c>
      <c r="B193" s="116">
        <v>9</v>
      </c>
      <c r="C193" s="62" t="s">
        <v>12</v>
      </c>
      <c r="D193" s="135"/>
      <c r="E193" s="62"/>
      <c r="F193" s="34" t="s">
        <v>209</v>
      </c>
      <c r="G193" s="31"/>
      <c r="H193" s="31"/>
      <c r="I193" s="31"/>
      <c r="J193" s="31"/>
      <c r="K193"/>
    </row>
    <row r="194" spans="1:11" ht="21">
      <c r="A194" s="130" t="s">
        <v>192</v>
      </c>
      <c r="B194" s="116">
        <v>10</v>
      </c>
      <c r="C194" s="62" t="s">
        <v>12</v>
      </c>
      <c r="D194" s="135"/>
      <c r="E194" s="62"/>
      <c r="F194" s="34" t="s">
        <v>209</v>
      </c>
      <c r="G194" s="31"/>
      <c r="H194" s="31"/>
      <c r="I194" s="31"/>
      <c r="J194" s="31"/>
      <c r="K194"/>
    </row>
    <row r="195" spans="1:11" ht="21">
      <c r="A195" s="132" t="s">
        <v>194</v>
      </c>
      <c r="B195" s="118">
        <v>11</v>
      </c>
      <c r="C195" s="120" t="s">
        <v>224</v>
      </c>
      <c r="D195" s="133"/>
      <c r="E195" s="120"/>
      <c r="F195" s="34" t="s">
        <v>209</v>
      </c>
      <c r="G195" s="31"/>
      <c r="H195" s="31"/>
      <c r="I195" s="31"/>
      <c r="J195" s="31"/>
      <c r="K195"/>
    </row>
    <row r="196" spans="1:11" ht="21">
      <c r="A196" s="132" t="s">
        <v>195</v>
      </c>
      <c r="B196" s="118">
        <v>12</v>
      </c>
      <c r="C196" s="120" t="s">
        <v>224</v>
      </c>
      <c r="D196" s="133"/>
      <c r="E196" s="120"/>
      <c r="F196" s="34" t="s">
        <v>209</v>
      </c>
      <c r="G196" s="31"/>
      <c r="H196" s="31"/>
      <c r="I196" s="31"/>
      <c r="J196" s="31"/>
      <c r="K196"/>
    </row>
    <row r="197" spans="1:11" ht="21">
      <c r="A197" s="130" t="s">
        <v>196</v>
      </c>
      <c r="B197" s="116">
        <v>13</v>
      </c>
      <c r="C197" s="62" t="s">
        <v>12</v>
      </c>
      <c r="D197" s="117"/>
      <c r="E197" s="62"/>
      <c r="F197" s="34" t="s">
        <v>209</v>
      </c>
      <c r="G197" s="31"/>
      <c r="H197" s="31"/>
      <c r="I197" s="31"/>
      <c r="J197" s="31"/>
      <c r="K197"/>
    </row>
    <row r="198" spans="1:11" ht="21">
      <c r="A198" s="131" t="s">
        <v>197</v>
      </c>
      <c r="B198" s="116">
        <v>14</v>
      </c>
      <c r="C198" s="62" t="s">
        <v>12</v>
      </c>
      <c r="D198" s="117"/>
      <c r="E198" s="62"/>
      <c r="F198" s="34" t="s">
        <v>209</v>
      </c>
      <c r="G198" s="31"/>
      <c r="H198" s="31"/>
      <c r="I198" s="31"/>
      <c r="J198" s="31"/>
      <c r="K198"/>
    </row>
    <row r="199" spans="1:11" ht="21">
      <c r="A199" s="130" t="s">
        <v>198</v>
      </c>
      <c r="B199" s="116">
        <v>15</v>
      </c>
      <c r="C199" s="62" t="s">
        <v>12</v>
      </c>
      <c r="D199" s="117"/>
      <c r="E199" s="62"/>
      <c r="F199" s="34" t="s">
        <v>209</v>
      </c>
      <c r="G199" s="31"/>
      <c r="H199" s="31"/>
      <c r="I199" s="31"/>
      <c r="J199" s="31"/>
      <c r="K199"/>
    </row>
    <row r="200" spans="1:11" ht="21">
      <c r="A200" s="131" t="s">
        <v>199</v>
      </c>
      <c r="B200" s="116">
        <v>16</v>
      </c>
      <c r="C200" s="62" t="s">
        <v>12</v>
      </c>
      <c r="D200" s="117"/>
      <c r="E200" s="62"/>
      <c r="F200" s="34" t="s">
        <v>209</v>
      </c>
      <c r="G200" s="31"/>
      <c r="H200" s="31"/>
      <c r="I200" s="31"/>
      <c r="J200" s="31"/>
      <c r="K200"/>
    </row>
    <row r="201" spans="1:11">
      <c r="A201"/>
      <c r="B201"/>
      <c r="C201"/>
      <c r="D201"/>
      <c r="E201"/>
      <c r="F201"/>
      <c r="G201"/>
      <c r="H201"/>
      <c r="I201"/>
      <c r="J201"/>
      <c r="K201"/>
    </row>
    <row r="202" spans="1:11">
      <c r="A202"/>
      <c r="B202"/>
      <c r="C202"/>
      <c r="D202"/>
      <c r="E202"/>
      <c r="F202"/>
      <c r="G202"/>
      <c r="H202"/>
      <c r="I202"/>
      <c r="J202"/>
      <c r="K202"/>
    </row>
    <row r="203" spans="1:11">
      <c r="A203"/>
      <c r="B203"/>
      <c r="C203"/>
      <c r="D203"/>
      <c r="E203"/>
      <c r="F203"/>
      <c r="G203"/>
      <c r="H203"/>
      <c r="I203"/>
      <c r="J203"/>
      <c r="K203"/>
    </row>
    <row r="204" spans="1:11">
      <c r="A204"/>
      <c r="B204"/>
      <c r="C204"/>
      <c r="D204"/>
      <c r="E204"/>
      <c r="F204"/>
      <c r="G204"/>
      <c r="H204"/>
      <c r="I204"/>
      <c r="J204"/>
      <c r="K204"/>
    </row>
    <row r="205" spans="1:11">
      <c r="A205"/>
      <c r="B205"/>
      <c r="C205"/>
      <c r="D205"/>
      <c r="E205"/>
      <c r="F205"/>
      <c r="G205"/>
      <c r="H205"/>
      <c r="I205"/>
      <c r="J205"/>
      <c r="K205"/>
    </row>
    <row r="206" spans="1:11">
      <c r="A206"/>
      <c r="B206"/>
      <c r="C206"/>
      <c r="D206"/>
      <c r="E206"/>
      <c r="F206"/>
      <c r="G206"/>
      <c r="H206"/>
      <c r="I206"/>
      <c r="J206"/>
      <c r="K206"/>
    </row>
    <row r="207" spans="1:11">
      <c r="A207"/>
      <c r="B207"/>
      <c r="C207"/>
      <c r="D207"/>
      <c r="E207"/>
      <c r="F207"/>
      <c r="G207"/>
      <c r="H207"/>
      <c r="I207"/>
      <c r="J207"/>
      <c r="K207"/>
    </row>
    <row r="208" spans="1:11">
      <c r="A208"/>
      <c r="B208"/>
      <c r="C208"/>
      <c r="D208"/>
      <c r="E208"/>
      <c r="F208"/>
      <c r="G208"/>
      <c r="H208"/>
      <c r="I208"/>
      <c r="J208"/>
      <c r="K208"/>
    </row>
    <row r="209" spans="1:11">
      <c r="A209"/>
      <c r="B209"/>
      <c r="C209"/>
      <c r="D209"/>
      <c r="E209"/>
      <c r="F209"/>
      <c r="G209"/>
      <c r="H209"/>
      <c r="I209"/>
      <c r="J209"/>
      <c r="K209"/>
    </row>
    <row r="210" spans="1:11">
      <c r="A210"/>
      <c r="B210"/>
      <c r="C210"/>
      <c r="D210"/>
      <c r="E210"/>
      <c r="F210"/>
      <c r="G210"/>
      <c r="H210"/>
      <c r="I210"/>
      <c r="J210"/>
      <c r="K210"/>
    </row>
    <row r="211" spans="1:11">
      <c r="A211"/>
      <c r="B211"/>
      <c r="C211"/>
      <c r="D211"/>
      <c r="E211"/>
      <c r="F211"/>
      <c r="G211"/>
      <c r="H211"/>
      <c r="I211"/>
      <c r="J211"/>
      <c r="K211"/>
    </row>
    <row r="212" spans="1:11">
      <c r="A212"/>
      <c r="B212"/>
      <c r="C212"/>
      <c r="D212"/>
      <c r="E212"/>
      <c r="F212"/>
      <c r="G212"/>
      <c r="H212"/>
      <c r="I212"/>
      <c r="J212"/>
      <c r="K212"/>
    </row>
    <row r="213" spans="1:11">
      <c r="A213"/>
      <c r="B213"/>
      <c r="C213"/>
      <c r="D213"/>
      <c r="E213"/>
      <c r="F213"/>
      <c r="G213"/>
      <c r="H213"/>
      <c r="I213"/>
      <c r="J213"/>
      <c r="K213"/>
    </row>
    <row r="214" spans="1:11">
      <c r="A214"/>
      <c r="B214"/>
      <c r="C214"/>
      <c r="D214"/>
      <c r="E214"/>
      <c r="F214"/>
      <c r="G214"/>
      <c r="H214"/>
      <c r="I214"/>
      <c r="J214"/>
      <c r="K214"/>
    </row>
    <row r="215" spans="1:11">
      <c r="A215"/>
      <c r="B215"/>
      <c r="C215"/>
      <c r="D215"/>
      <c r="E215"/>
      <c r="F215"/>
      <c r="G215"/>
      <c r="H215"/>
      <c r="I215"/>
      <c r="J215"/>
      <c r="K215"/>
    </row>
  </sheetData>
  <pageMargins left="0.25" right="0.25" top="0.75" bottom="0.75" header="0.3" footer="0.3"/>
  <pageSetup scale="46" fitToHeight="0" orientation="portrait" r:id="rId1"/>
  <headerFooter>
    <oddHeader>&amp;L&amp;16&amp;KFF0000PLEASE PREP FOOD AND WATER AFTER UNLOADING&amp;K01+000
&amp;KFF66FFMUST BE LAVAGED DAILY AFTER UNLOADING&amp;C&amp;16HEROIN INCUBATION + D2 TRAP COHORT 3 (females)
LIVE IN ROOM 1015
HEROIN, 0.1 MG/KG&amp;R&amp;16Running in 16-box room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C9C3-D6B9-47D2-85EF-DDC17581232C}">
  <dimension ref="A2:BA38"/>
  <sheetViews>
    <sheetView tabSelected="1" workbookViewId="0">
      <selection activeCell="F2" sqref="F2"/>
    </sheetView>
  </sheetViews>
  <sheetFormatPr defaultRowHeight="14.45"/>
  <cols>
    <col min="1" max="1" width="15.42578125" customWidth="1"/>
    <col min="2" max="2" width="16.5703125" customWidth="1"/>
    <col min="30" max="30" width="15.28515625" customWidth="1"/>
    <col min="31" max="31" width="12.5703125" customWidth="1"/>
    <col min="34" max="34" width="9.140625" customWidth="1"/>
  </cols>
  <sheetData>
    <row r="2" spans="1:53" ht="55.5" customHeight="1">
      <c r="A2" s="140" t="s">
        <v>346</v>
      </c>
      <c r="B2" s="141" t="s">
        <v>347</v>
      </c>
      <c r="C2" s="188" t="s">
        <v>348</v>
      </c>
      <c r="D2" s="188"/>
      <c r="E2" s="142" t="s">
        <v>349</v>
      </c>
    </row>
    <row r="5" spans="1:53">
      <c r="B5" s="143" t="s">
        <v>226</v>
      </c>
      <c r="C5" s="10"/>
      <c r="D5" s="10"/>
    </row>
    <row r="6" spans="1:53">
      <c r="B6" s="10" t="s">
        <v>222</v>
      </c>
      <c r="C6" s="10" t="s">
        <v>223</v>
      </c>
      <c r="D6" s="10" t="s">
        <v>8</v>
      </c>
      <c r="E6" s="10" t="s">
        <v>350</v>
      </c>
      <c r="F6" s="10" t="s">
        <v>351</v>
      </c>
      <c r="G6" s="10" t="s">
        <v>352</v>
      </c>
      <c r="H6" s="10" t="s">
        <v>353</v>
      </c>
      <c r="I6" s="10" t="s">
        <v>354</v>
      </c>
      <c r="J6" s="10" t="s">
        <v>355</v>
      </c>
      <c r="K6" s="10" t="s">
        <v>356</v>
      </c>
      <c r="L6" s="10" t="s">
        <v>357</v>
      </c>
      <c r="M6" s="10" t="s">
        <v>358</v>
      </c>
      <c r="N6" s="10" t="s">
        <v>359</v>
      </c>
      <c r="O6" s="153" t="s">
        <v>360</v>
      </c>
      <c r="P6" s="153" t="s">
        <v>361</v>
      </c>
      <c r="Q6" s="153" t="s">
        <v>362</v>
      </c>
      <c r="R6" s="153" t="s">
        <v>363</v>
      </c>
      <c r="S6" s="153"/>
      <c r="T6" s="153" t="s">
        <v>364</v>
      </c>
      <c r="U6" s="48"/>
      <c r="V6" s="153" t="s">
        <v>365</v>
      </c>
      <c r="W6" s="48"/>
      <c r="X6" s="153" t="s">
        <v>366</v>
      </c>
      <c r="AE6" s="143" t="s">
        <v>226</v>
      </c>
    </row>
    <row r="7" spans="1:53" ht="15" customHeight="1">
      <c r="A7" s="191" t="s">
        <v>286</v>
      </c>
      <c r="B7" s="144" t="s">
        <v>10</v>
      </c>
      <c r="C7" s="145">
        <v>1</v>
      </c>
      <c r="D7" s="146" t="s">
        <v>12</v>
      </c>
      <c r="E7" s="164">
        <v>60</v>
      </c>
      <c r="F7" s="169">
        <v>41</v>
      </c>
      <c r="G7" s="169">
        <v>61</v>
      </c>
      <c r="H7" s="169">
        <v>43</v>
      </c>
      <c r="I7" s="164">
        <v>54</v>
      </c>
      <c r="J7" s="169">
        <v>75</v>
      </c>
      <c r="K7" s="169">
        <v>75</v>
      </c>
      <c r="L7" s="169">
        <v>75</v>
      </c>
      <c r="M7" s="169">
        <v>75</v>
      </c>
      <c r="N7" s="171">
        <v>64</v>
      </c>
      <c r="O7">
        <v>4</v>
      </c>
      <c r="P7">
        <v>6</v>
      </c>
      <c r="T7">
        <f>AVERAGE(O7:R7)</f>
        <v>5</v>
      </c>
      <c r="V7">
        <v>2</v>
      </c>
      <c r="Y7">
        <f>AVERAGE(O7:P7)</f>
        <v>5</v>
      </c>
      <c r="AE7" s="10" t="s">
        <v>222</v>
      </c>
      <c r="AF7" s="10" t="s">
        <v>223</v>
      </c>
      <c r="AG7" s="10" t="s">
        <v>8</v>
      </c>
      <c r="AH7" s="10" t="s">
        <v>350</v>
      </c>
      <c r="AI7" s="10" t="s">
        <v>351</v>
      </c>
      <c r="AJ7" s="10" t="s">
        <v>352</v>
      </c>
      <c r="AK7" s="10" t="s">
        <v>353</v>
      </c>
      <c r="AL7" s="10" t="s">
        <v>354</v>
      </c>
      <c r="AM7" s="10" t="s">
        <v>355</v>
      </c>
      <c r="AN7" s="10" t="s">
        <v>356</v>
      </c>
      <c r="AO7" s="10" t="s">
        <v>357</v>
      </c>
      <c r="AP7" s="10" t="s">
        <v>358</v>
      </c>
      <c r="AQ7" s="10" t="s">
        <v>359</v>
      </c>
      <c r="AR7" s="153" t="s">
        <v>360</v>
      </c>
      <c r="AS7" s="153" t="s">
        <v>361</v>
      </c>
      <c r="AT7" s="153" t="s">
        <v>362</v>
      </c>
      <c r="AU7" s="153" t="s">
        <v>363</v>
      </c>
      <c r="AV7" s="153"/>
      <c r="AW7" s="153" t="s">
        <v>364</v>
      </c>
      <c r="AX7" s="48"/>
      <c r="AY7" s="153" t="s">
        <v>365</v>
      </c>
      <c r="AZ7" s="48"/>
      <c r="BA7" s="153" t="s">
        <v>366</v>
      </c>
    </row>
    <row r="8" spans="1:53" ht="15" customHeight="1">
      <c r="A8" s="192"/>
      <c r="B8" s="110" t="s">
        <v>18</v>
      </c>
      <c r="C8" s="148">
        <v>2</v>
      </c>
      <c r="D8" s="149" t="s">
        <v>12</v>
      </c>
      <c r="E8" s="165">
        <v>53</v>
      </c>
      <c r="F8" s="165">
        <v>75</v>
      </c>
      <c r="G8" s="165">
        <v>75</v>
      </c>
      <c r="H8" s="170">
        <v>75</v>
      </c>
      <c r="I8" s="165">
        <v>75</v>
      </c>
      <c r="J8" s="170">
        <v>75</v>
      </c>
      <c r="K8" s="165">
        <v>75</v>
      </c>
      <c r="L8" s="165">
        <v>75</v>
      </c>
      <c r="M8" s="165">
        <v>75</v>
      </c>
      <c r="N8" s="166">
        <v>75</v>
      </c>
      <c r="O8">
        <v>4</v>
      </c>
      <c r="P8">
        <v>2</v>
      </c>
      <c r="T8">
        <f t="shared" ref="T8:T38" si="0">AVERAGE(O8:R8)</f>
        <v>3</v>
      </c>
      <c r="V8">
        <v>2</v>
      </c>
      <c r="Y8">
        <f t="shared" ref="Y8:Y19" si="1">AVERAGE(O8:P8)</f>
        <v>3</v>
      </c>
      <c r="AD8" s="189" t="s">
        <v>286</v>
      </c>
      <c r="AE8" s="147" t="s">
        <v>33</v>
      </c>
      <c r="AF8" s="145">
        <v>7</v>
      </c>
      <c r="AG8" s="155" t="s">
        <v>224</v>
      </c>
      <c r="AH8" s="164">
        <v>75</v>
      </c>
      <c r="AI8" s="169">
        <v>60</v>
      </c>
      <c r="AJ8" s="169">
        <v>69</v>
      </c>
      <c r="AK8" s="164">
        <v>50</v>
      </c>
      <c r="AL8" s="164">
        <v>54</v>
      </c>
      <c r="AM8" s="164">
        <v>28</v>
      </c>
      <c r="AN8" s="164">
        <v>36</v>
      </c>
      <c r="AO8" s="164">
        <v>17</v>
      </c>
      <c r="AP8" s="164">
        <v>13</v>
      </c>
      <c r="AQ8" s="171">
        <v>22</v>
      </c>
      <c r="AR8">
        <v>3</v>
      </c>
      <c r="AS8">
        <v>7</v>
      </c>
      <c r="AW8">
        <f>AVERAGE(AR8:AU8)</f>
        <v>5</v>
      </c>
      <c r="AY8">
        <v>2</v>
      </c>
      <c r="BA8">
        <f>AVERAGE(AR8:AS8)</f>
        <v>5</v>
      </c>
    </row>
    <row r="9" spans="1:53" ht="15" customHeight="1">
      <c r="A9" s="192"/>
      <c r="B9" s="156">
        <v>544</v>
      </c>
      <c r="C9" s="148">
        <v>3</v>
      </c>
      <c r="D9" s="149" t="s">
        <v>12</v>
      </c>
      <c r="E9" s="170">
        <v>31</v>
      </c>
      <c r="F9" s="165">
        <v>38</v>
      </c>
      <c r="G9" s="170">
        <v>45</v>
      </c>
      <c r="H9" s="165">
        <v>58</v>
      </c>
      <c r="I9" s="165">
        <v>75</v>
      </c>
      <c r="J9" s="165">
        <v>75</v>
      </c>
      <c r="K9" s="170">
        <v>75</v>
      </c>
      <c r="L9" s="170">
        <v>75</v>
      </c>
      <c r="M9" s="170">
        <v>75</v>
      </c>
      <c r="N9" s="166">
        <v>75</v>
      </c>
      <c r="O9">
        <v>2</v>
      </c>
      <c r="P9">
        <v>4</v>
      </c>
      <c r="Q9">
        <v>4</v>
      </c>
      <c r="T9">
        <f t="shared" si="0"/>
        <v>3.3333333333333335</v>
      </c>
      <c r="V9">
        <v>3</v>
      </c>
      <c r="Y9">
        <f t="shared" si="1"/>
        <v>3</v>
      </c>
      <c r="AD9" s="190"/>
      <c r="AE9" s="152" t="s">
        <v>39</v>
      </c>
      <c r="AF9" s="150">
        <v>8</v>
      </c>
      <c r="AG9" s="163" t="s">
        <v>224</v>
      </c>
      <c r="AH9" s="167">
        <v>27</v>
      </c>
      <c r="AI9" s="167">
        <v>34</v>
      </c>
      <c r="AJ9" s="167">
        <v>28</v>
      </c>
      <c r="AK9" s="172">
        <v>11</v>
      </c>
      <c r="AL9" s="167">
        <v>7</v>
      </c>
      <c r="AM9" s="172">
        <v>13</v>
      </c>
      <c r="AN9" s="167">
        <v>19</v>
      </c>
      <c r="AO9" s="172">
        <v>7</v>
      </c>
      <c r="AP9" s="167">
        <v>9</v>
      </c>
      <c r="AQ9" s="168">
        <v>3</v>
      </c>
      <c r="AR9">
        <v>4</v>
      </c>
      <c r="AS9">
        <v>2</v>
      </c>
      <c r="AT9">
        <v>2</v>
      </c>
      <c r="AW9">
        <f t="shared" ref="AW9:AW18" si="2">AVERAGE(AR9:AU9)</f>
        <v>2.6666666666666665</v>
      </c>
      <c r="AY9">
        <v>3</v>
      </c>
      <c r="BA9">
        <f t="shared" ref="BA9:BA18" si="3">AVERAGE(AR9:AS9)</f>
        <v>3</v>
      </c>
    </row>
    <row r="10" spans="1:53" ht="15" customHeight="1">
      <c r="A10" s="192"/>
      <c r="B10" s="156">
        <v>545</v>
      </c>
      <c r="C10" s="148">
        <v>4</v>
      </c>
      <c r="D10" s="149" t="s">
        <v>12</v>
      </c>
      <c r="E10" s="165">
        <v>33</v>
      </c>
      <c r="F10" s="165">
        <v>39</v>
      </c>
      <c r="G10" s="165">
        <v>62</v>
      </c>
      <c r="H10" s="165">
        <v>47</v>
      </c>
      <c r="I10" s="170">
        <v>45</v>
      </c>
      <c r="J10" s="165">
        <v>41</v>
      </c>
      <c r="K10" s="165">
        <v>34</v>
      </c>
      <c r="L10" s="165">
        <v>34</v>
      </c>
      <c r="M10" s="170">
        <v>35</v>
      </c>
      <c r="N10" s="173">
        <v>31</v>
      </c>
      <c r="O10">
        <v>5</v>
      </c>
      <c r="P10">
        <v>5</v>
      </c>
      <c r="T10">
        <f t="shared" si="0"/>
        <v>5</v>
      </c>
      <c r="V10">
        <v>2</v>
      </c>
      <c r="Y10">
        <f t="shared" si="1"/>
        <v>5</v>
      </c>
      <c r="AD10" s="193" t="s">
        <v>311</v>
      </c>
      <c r="AE10" s="147" t="s">
        <v>96</v>
      </c>
      <c r="AF10" s="154">
        <v>1</v>
      </c>
      <c r="AG10" s="155" t="s">
        <v>224</v>
      </c>
      <c r="AH10" s="164">
        <v>65</v>
      </c>
      <c r="AI10" s="164">
        <v>73</v>
      </c>
      <c r="AJ10" s="164">
        <v>50</v>
      </c>
      <c r="AK10" s="164">
        <v>62</v>
      </c>
      <c r="AL10" s="164">
        <v>54</v>
      </c>
      <c r="AM10" s="164">
        <v>41</v>
      </c>
      <c r="AN10" s="164">
        <v>33</v>
      </c>
      <c r="AO10" s="164">
        <v>61</v>
      </c>
      <c r="AP10" s="169">
        <v>21</v>
      </c>
      <c r="AQ10" s="174">
        <v>31</v>
      </c>
      <c r="AR10">
        <v>9</v>
      </c>
      <c r="AW10">
        <f t="shared" si="2"/>
        <v>9</v>
      </c>
      <c r="AY10">
        <v>1</v>
      </c>
      <c r="BA10">
        <f t="shared" si="3"/>
        <v>9</v>
      </c>
    </row>
    <row r="11" spans="1:53" ht="15" customHeight="1">
      <c r="A11" s="192"/>
      <c r="B11" s="156" t="s">
        <v>25</v>
      </c>
      <c r="C11" s="148">
        <v>5</v>
      </c>
      <c r="D11" s="149" t="s">
        <v>12</v>
      </c>
      <c r="E11" s="165">
        <v>18</v>
      </c>
      <c r="F11" s="165">
        <v>37</v>
      </c>
      <c r="G11" s="165">
        <v>50</v>
      </c>
      <c r="H11" s="170">
        <v>38</v>
      </c>
      <c r="I11" s="170">
        <v>33</v>
      </c>
      <c r="J11" s="170">
        <v>57</v>
      </c>
      <c r="K11" s="165">
        <v>36</v>
      </c>
      <c r="L11" s="165">
        <v>23</v>
      </c>
      <c r="M11" s="165">
        <v>38</v>
      </c>
      <c r="N11" s="173">
        <v>42</v>
      </c>
      <c r="O11">
        <v>6</v>
      </c>
      <c r="P11">
        <v>4</v>
      </c>
      <c r="T11">
        <f t="shared" si="0"/>
        <v>5</v>
      </c>
      <c r="V11">
        <v>2</v>
      </c>
      <c r="Y11">
        <f t="shared" si="1"/>
        <v>5</v>
      </c>
      <c r="AD11" s="183"/>
      <c r="AE11" s="110" t="s">
        <v>367</v>
      </c>
      <c r="AF11" s="156">
        <v>2</v>
      </c>
      <c r="AG11" s="102" t="s">
        <v>224</v>
      </c>
      <c r="AH11" s="165">
        <v>74</v>
      </c>
      <c r="AI11" s="170">
        <v>36</v>
      </c>
      <c r="AJ11" s="165">
        <v>26</v>
      </c>
      <c r="AK11" s="165">
        <v>40</v>
      </c>
      <c r="AL11" s="165">
        <v>27</v>
      </c>
      <c r="AM11" s="165">
        <v>22</v>
      </c>
      <c r="AN11" s="165">
        <v>19</v>
      </c>
      <c r="AO11" s="165">
        <v>26</v>
      </c>
      <c r="AP11" s="165">
        <v>15</v>
      </c>
      <c r="AQ11" s="166">
        <v>17</v>
      </c>
      <c r="AR11">
        <v>2</v>
      </c>
      <c r="AW11">
        <f t="shared" si="2"/>
        <v>2</v>
      </c>
      <c r="AY11">
        <v>1</v>
      </c>
      <c r="BA11">
        <f t="shared" si="3"/>
        <v>2</v>
      </c>
    </row>
    <row r="12" spans="1:53">
      <c r="A12" s="192"/>
      <c r="B12" s="156" t="s">
        <v>30</v>
      </c>
      <c r="C12" s="148">
        <v>6</v>
      </c>
      <c r="D12" s="149" t="s">
        <v>12</v>
      </c>
      <c r="E12" s="170">
        <v>0</v>
      </c>
      <c r="F12" s="165">
        <v>3</v>
      </c>
      <c r="G12" s="165">
        <v>15</v>
      </c>
      <c r="H12" s="170">
        <v>29</v>
      </c>
      <c r="I12" s="170">
        <v>29</v>
      </c>
      <c r="J12" s="170">
        <v>47</v>
      </c>
      <c r="K12" s="170">
        <v>36</v>
      </c>
      <c r="L12" s="170">
        <v>46</v>
      </c>
      <c r="M12" s="165">
        <v>39</v>
      </c>
      <c r="N12" s="166">
        <v>37</v>
      </c>
      <c r="O12">
        <v>3</v>
      </c>
      <c r="P12">
        <v>7</v>
      </c>
      <c r="T12">
        <f t="shared" si="0"/>
        <v>5</v>
      </c>
      <c r="V12">
        <v>2</v>
      </c>
      <c r="Y12">
        <f t="shared" si="1"/>
        <v>5</v>
      </c>
      <c r="AD12" s="183"/>
      <c r="AE12" s="110" t="s">
        <v>119</v>
      </c>
      <c r="AF12" s="156">
        <v>9</v>
      </c>
      <c r="AG12" s="102" t="s">
        <v>224</v>
      </c>
      <c r="AH12" s="165">
        <v>13</v>
      </c>
      <c r="AI12" s="165">
        <v>12</v>
      </c>
      <c r="AJ12" s="165">
        <v>14</v>
      </c>
      <c r="AK12" s="165">
        <v>24</v>
      </c>
      <c r="AL12" s="165">
        <v>67</v>
      </c>
      <c r="AM12" s="165">
        <v>7</v>
      </c>
      <c r="AN12" s="165">
        <v>5</v>
      </c>
      <c r="AO12" s="170">
        <v>15</v>
      </c>
      <c r="AP12" s="165">
        <v>20</v>
      </c>
      <c r="AQ12" s="173">
        <v>14</v>
      </c>
      <c r="AR12">
        <v>8</v>
      </c>
      <c r="AS12">
        <v>2</v>
      </c>
      <c r="AW12">
        <f t="shared" si="2"/>
        <v>5</v>
      </c>
      <c r="AY12">
        <v>2</v>
      </c>
      <c r="BA12">
        <f t="shared" si="3"/>
        <v>5</v>
      </c>
    </row>
    <row r="13" spans="1:53">
      <c r="A13" s="192"/>
      <c r="B13" s="156">
        <v>546</v>
      </c>
      <c r="C13" s="148">
        <v>9</v>
      </c>
      <c r="D13" s="149" t="s">
        <v>12</v>
      </c>
      <c r="E13" s="170">
        <v>36</v>
      </c>
      <c r="F13" s="165">
        <v>19</v>
      </c>
      <c r="G13" s="165">
        <v>69</v>
      </c>
      <c r="H13" s="165">
        <v>37</v>
      </c>
      <c r="I13" s="165">
        <v>28</v>
      </c>
      <c r="J13" s="165">
        <v>43</v>
      </c>
      <c r="K13" s="165">
        <v>34</v>
      </c>
      <c r="L13" s="170">
        <v>41</v>
      </c>
      <c r="M13" s="170">
        <v>44</v>
      </c>
      <c r="N13" s="166">
        <v>32</v>
      </c>
      <c r="O13">
        <v>7</v>
      </c>
      <c r="P13">
        <v>3</v>
      </c>
      <c r="T13">
        <f t="shared" si="0"/>
        <v>5</v>
      </c>
      <c r="V13">
        <v>2</v>
      </c>
      <c r="Y13">
        <f t="shared" si="1"/>
        <v>5</v>
      </c>
      <c r="AD13" s="184"/>
      <c r="AE13" s="160" t="s">
        <v>122</v>
      </c>
      <c r="AF13" s="157">
        <v>10</v>
      </c>
      <c r="AG13" s="158" t="s">
        <v>224</v>
      </c>
      <c r="AH13" s="176">
        <v>43</v>
      </c>
      <c r="AI13" s="177">
        <v>36</v>
      </c>
      <c r="AJ13" s="177">
        <v>42</v>
      </c>
      <c r="AK13" s="176">
        <v>16</v>
      </c>
      <c r="AL13" s="176">
        <v>38</v>
      </c>
      <c r="AM13" s="177">
        <v>14</v>
      </c>
      <c r="AN13" s="177">
        <v>9</v>
      </c>
      <c r="AO13" s="176">
        <v>17</v>
      </c>
      <c r="AP13" s="176">
        <v>8</v>
      </c>
      <c r="AQ13" s="175">
        <v>6</v>
      </c>
      <c r="AR13">
        <v>3</v>
      </c>
      <c r="AS13">
        <v>4</v>
      </c>
      <c r="AT13">
        <v>3</v>
      </c>
      <c r="AW13">
        <f t="shared" si="2"/>
        <v>3.3333333333333335</v>
      </c>
      <c r="AY13">
        <v>3</v>
      </c>
      <c r="BA13">
        <f t="shared" si="3"/>
        <v>3.5</v>
      </c>
    </row>
    <row r="14" spans="1:53" ht="15" customHeight="1">
      <c r="A14" s="192"/>
      <c r="B14" s="110" t="s">
        <v>46</v>
      </c>
      <c r="C14" s="148">
        <v>10</v>
      </c>
      <c r="D14" s="149" t="s">
        <v>12</v>
      </c>
      <c r="E14" s="165">
        <v>54</v>
      </c>
      <c r="F14" s="165">
        <v>52</v>
      </c>
      <c r="G14" s="170">
        <v>59</v>
      </c>
      <c r="H14" s="170">
        <v>42</v>
      </c>
      <c r="I14" s="165">
        <v>49</v>
      </c>
      <c r="J14" s="165">
        <v>48</v>
      </c>
      <c r="K14" s="165">
        <v>45</v>
      </c>
      <c r="L14" s="165">
        <v>35</v>
      </c>
      <c r="M14" s="165">
        <v>37</v>
      </c>
      <c r="N14" s="166">
        <v>35</v>
      </c>
      <c r="O14">
        <v>4</v>
      </c>
      <c r="T14">
        <f t="shared" si="0"/>
        <v>4</v>
      </c>
      <c r="V14">
        <v>1</v>
      </c>
      <c r="Y14">
        <f t="shared" si="1"/>
        <v>4</v>
      </c>
      <c r="AD14" s="183" t="s">
        <v>320</v>
      </c>
      <c r="AE14" s="161" t="s">
        <v>173</v>
      </c>
      <c r="AF14" s="159">
        <v>3</v>
      </c>
      <c r="AG14" s="162" t="s">
        <v>224</v>
      </c>
      <c r="AH14" s="180">
        <v>9</v>
      </c>
      <c r="AI14" s="178">
        <v>18</v>
      </c>
      <c r="AJ14" s="178">
        <v>11</v>
      </c>
      <c r="AK14" s="180">
        <v>20</v>
      </c>
      <c r="AL14" s="180">
        <v>23</v>
      </c>
      <c r="AM14" s="180">
        <v>13</v>
      </c>
      <c r="AN14" s="180">
        <v>18</v>
      </c>
      <c r="AO14" s="178">
        <v>45</v>
      </c>
      <c r="AP14" s="178">
        <v>10</v>
      </c>
      <c r="AQ14" s="182">
        <v>16</v>
      </c>
      <c r="AR14">
        <v>3</v>
      </c>
      <c r="AS14">
        <v>6</v>
      </c>
      <c r="AW14">
        <f t="shared" si="2"/>
        <v>4.5</v>
      </c>
      <c r="AY14">
        <v>2</v>
      </c>
      <c r="BA14">
        <f t="shared" si="3"/>
        <v>4.5</v>
      </c>
    </row>
    <row r="15" spans="1:53" ht="15" customHeight="1">
      <c r="A15" s="192"/>
      <c r="B15" s="152" t="s">
        <v>50</v>
      </c>
      <c r="C15" s="150">
        <v>11</v>
      </c>
      <c r="D15" s="151" t="s">
        <v>12</v>
      </c>
      <c r="E15" s="172">
        <v>32</v>
      </c>
      <c r="F15" s="167">
        <v>34</v>
      </c>
      <c r="G15" s="167">
        <v>34</v>
      </c>
      <c r="H15" s="172">
        <v>36</v>
      </c>
      <c r="I15" s="172">
        <v>52</v>
      </c>
      <c r="J15" s="172">
        <v>75</v>
      </c>
      <c r="K15" s="167">
        <v>75</v>
      </c>
      <c r="L15" s="167">
        <v>50</v>
      </c>
      <c r="M15" s="172">
        <v>40</v>
      </c>
      <c r="N15" s="168">
        <v>29</v>
      </c>
      <c r="O15">
        <v>3</v>
      </c>
      <c r="P15">
        <v>5</v>
      </c>
      <c r="Q15">
        <v>2</v>
      </c>
      <c r="T15">
        <f t="shared" si="0"/>
        <v>3.3333333333333335</v>
      </c>
      <c r="V15">
        <v>3</v>
      </c>
      <c r="Y15">
        <f t="shared" si="1"/>
        <v>4</v>
      </c>
      <c r="AD15" s="183"/>
      <c r="AE15" s="110" t="s">
        <v>175</v>
      </c>
      <c r="AF15" s="156">
        <v>4</v>
      </c>
      <c r="AG15" s="102" t="s">
        <v>224</v>
      </c>
      <c r="AH15" s="170">
        <v>10</v>
      </c>
      <c r="AI15" s="165">
        <v>75</v>
      </c>
      <c r="AJ15" s="165">
        <v>38</v>
      </c>
      <c r="AK15" s="170">
        <v>22</v>
      </c>
      <c r="AL15" s="170">
        <v>38</v>
      </c>
      <c r="AM15" s="165">
        <v>41</v>
      </c>
      <c r="AN15" s="165">
        <v>31</v>
      </c>
      <c r="AO15" s="165">
        <v>17</v>
      </c>
      <c r="AP15" s="165">
        <v>6</v>
      </c>
      <c r="AQ15" s="173">
        <v>23</v>
      </c>
      <c r="AR15">
        <v>3</v>
      </c>
      <c r="AS15">
        <v>6</v>
      </c>
      <c r="AW15">
        <f t="shared" si="2"/>
        <v>4.5</v>
      </c>
      <c r="AY15">
        <v>2</v>
      </c>
      <c r="BA15">
        <f t="shared" si="3"/>
        <v>4.5</v>
      </c>
    </row>
    <row r="16" spans="1:53" ht="15" customHeight="1">
      <c r="A16" s="185" t="s">
        <v>311</v>
      </c>
      <c r="B16" s="147" t="s">
        <v>102</v>
      </c>
      <c r="C16" s="154">
        <v>3</v>
      </c>
      <c r="D16" s="155" t="s">
        <v>12</v>
      </c>
      <c r="E16" s="164">
        <v>24</v>
      </c>
      <c r="F16" s="169">
        <v>9</v>
      </c>
      <c r="G16" s="169">
        <v>26</v>
      </c>
      <c r="H16" s="164">
        <v>21</v>
      </c>
      <c r="I16" s="164">
        <v>32</v>
      </c>
      <c r="J16" s="164">
        <v>25</v>
      </c>
      <c r="K16" s="164">
        <v>63</v>
      </c>
      <c r="L16" s="169">
        <v>31</v>
      </c>
      <c r="M16" s="164">
        <v>24</v>
      </c>
      <c r="N16" s="174">
        <v>66</v>
      </c>
      <c r="O16">
        <v>3</v>
      </c>
      <c r="P16">
        <v>5</v>
      </c>
      <c r="T16">
        <f t="shared" si="0"/>
        <v>4</v>
      </c>
      <c r="V16">
        <v>2</v>
      </c>
      <c r="Y16">
        <f t="shared" si="1"/>
        <v>4</v>
      </c>
      <c r="AD16" s="183"/>
      <c r="AE16" s="110" t="s">
        <v>178</v>
      </c>
      <c r="AF16" s="156">
        <v>5</v>
      </c>
      <c r="AG16" s="102" t="s">
        <v>224</v>
      </c>
      <c r="AH16" s="165">
        <v>75</v>
      </c>
      <c r="AI16" s="170">
        <v>34</v>
      </c>
      <c r="AJ16" s="170">
        <v>57</v>
      </c>
      <c r="AK16" s="165">
        <v>53</v>
      </c>
      <c r="AL16" s="170">
        <v>68</v>
      </c>
      <c r="AM16" s="170">
        <v>75</v>
      </c>
      <c r="AN16" s="165">
        <v>57</v>
      </c>
      <c r="AO16" s="170">
        <v>39</v>
      </c>
      <c r="AP16" s="165">
        <v>46</v>
      </c>
      <c r="AQ16" s="166">
        <v>70</v>
      </c>
      <c r="AR16">
        <v>3</v>
      </c>
      <c r="AS16">
        <v>3</v>
      </c>
      <c r="AT16">
        <v>2</v>
      </c>
      <c r="AW16">
        <f t="shared" si="2"/>
        <v>2.6666666666666665</v>
      </c>
      <c r="AY16">
        <v>3</v>
      </c>
      <c r="BA16">
        <f t="shared" si="3"/>
        <v>3</v>
      </c>
    </row>
    <row r="17" spans="1:53" ht="15" customHeight="1">
      <c r="A17" s="186"/>
      <c r="B17" s="110" t="s">
        <v>105</v>
      </c>
      <c r="C17" s="156">
        <v>4</v>
      </c>
      <c r="D17" s="102" t="s">
        <v>12</v>
      </c>
      <c r="E17" s="170">
        <v>32</v>
      </c>
      <c r="F17" s="165">
        <v>40</v>
      </c>
      <c r="G17" s="170">
        <v>31</v>
      </c>
      <c r="H17" s="170">
        <v>26</v>
      </c>
      <c r="I17" s="170">
        <v>26</v>
      </c>
      <c r="J17" s="165">
        <v>27</v>
      </c>
      <c r="K17" s="165">
        <v>29</v>
      </c>
      <c r="L17" s="170">
        <v>30</v>
      </c>
      <c r="M17" s="170">
        <v>24</v>
      </c>
      <c r="N17" s="166">
        <v>50</v>
      </c>
      <c r="O17">
        <v>2</v>
      </c>
      <c r="P17">
        <v>5</v>
      </c>
      <c r="Q17">
        <v>3</v>
      </c>
      <c r="T17">
        <f t="shared" si="0"/>
        <v>3.3333333333333335</v>
      </c>
      <c r="V17">
        <v>3</v>
      </c>
      <c r="Y17">
        <f t="shared" si="1"/>
        <v>3.5</v>
      </c>
      <c r="AD17" s="183"/>
      <c r="AE17" s="110" t="s">
        <v>194</v>
      </c>
      <c r="AF17" s="156">
        <v>11</v>
      </c>
      <c r="AG17" s="102" t="s">
        <v>224</v>
      </c>
      <c r="AH17" s="170">
        <v>33</v>
      </c>
      <c r="AI17" s="165">
        <v>52</v>
      </c>
      <c r="AJ17" s="165">
        <v>22</v>
      </c>
      <c r="AK17" s="165">
        <v>32</v>
      </c>
      <c r="AL17" s="165">
        <v>62</v>
      </c>
      <c r="AM17" s="165">
        <v>34</v>
      </c>
      <c r="AN17" s="170">
        <v>28</v>
      </c>
      <c r="AO17" s="170">
        <v>32</v>
      </c>
      <c r="AP17" s="165">
        <v>48</v>
      </c>
      <c r="AQ17" s="166">
        <v>22</v>
      </c>
      <c r="AR17">
        <v>6</v>
      </c>
      <c r="AS17">
        <v>4</v>
      </c>
      <c r="AW17">
        <f t="shared" si="2"/>
        <v>5</v>
      </c>
      <c r="AY17">
        <v>2</v>
      </c>
      <c r="BA17">
        <f t="shared" si="3"/>
        <v>5</v>
      </c>
    </row>
    <row r="18" spans="1:53" ht="15" customHeight="1">
      <c r="A18" s="186"/>
      <c r="B18" s="110" t="s">
        <v>108</v>
      </c>
      <c r="C18" s="156">
        <v>5</v>
      </c>
      <c r="D18" s="102" t="s">
        <v>12</v>
      </c>
      <c r="E18" s="170">
        <v>19</v>
      </c>
      <c r="F18" s="165">
        <v>57</v>
      </c>
      <c r="G18" s="165">
        <v>75</v>
      </c>
      <c r="H18" s="165">
        <v>75</v>
      </c>
      <c r="I18" s="165">
        <v>26</v>
      </c>
      <c r="J18" s="165">
        <v>21</v>
      </c>
      <c r="K18" s="165">
        <v>34</v>
      </c>
      <c r="L18" s="165">
        <v>36</v>
      </c>
      <c r="M18" s="165">
        <v>41</v>
      </c>
      <c r="N18" s="173">
        <v>34</v>
      </c>
      <c r="O18">
        <v>9</v>
      </c>
      <c r="T18">
        <f t="shared" si="0"/>
        <v>9</v>
      </c>
      <c r="V18">
        <v>1</v>
      </c>
      <c r="Y18">
        <f t="shared" si="1"/>
        <v>9</v>
      </c>
      <c r="AD18" s="184"/>
      <c r="AE18" s="160" t="s">
        <v>195</v>
      </c>
      <c r="AF18" s="157">
        <v>12</v>
      </c>
      <c r="AG18" s="158" t="s">
        <v>224</v>
      </c>
      <c r="AH18" s="176">
        <v>4</v>
      </c>
      <c r="AI18" s="176">
        <v>2</v>
      </c>
      <c r="AJ18" s="176">
        <v>4</v>
      </c>
      <c r="AK18" s="177">
        <v>8</v>
      </c>
      <c r="AL18" s="177">
        <v>6</v>
      </c>
      <c r="AM18" s="176">
        <v>5</v>
      </c>
      <c r="AN18" s="176">
        <v>3</v>
      </c>
      <c r="AO18" s="177">
        <v>5</v>
      </c>
      <c r="AP18" s="177">
        <v>2</v>
      </c>
      <c r="AQ18" s="181">
        <v>2</v>
      </c>
      <c r="AR18">
        <v>5</v>
      </c>
      <c r="AS18">
        <v>4</v>
      </c>
      <c r="AW18">
        <f t="shared" si="2"/>
        <v>4.5</v>
      </c>
      <c r="AY18">
        <v>2</v>
      </c>
      <c r="BA18">
        <f t="shared" si="3"/>
        <v>4.5</v>
      </c>
    </row>
    <row r="19" spans="1:53" ht="15" customHeight="1">
      <c r="A19" s="186"/>
      <c r="B19" s="110" t="s">
        <v>110</v>
      </c>
      <c r="C19" s="156">
        <v>6</v>
      </c>
      <c r="D19" s="102" t="s">
        <v>12</v>
      </c>
      <c r="E19" s="170">
        <v>32</v>
      </c>
      <c r="F19" s="165">
        <v>29</v>
      </c>
      <c r="G19" s="165">
        <v>41</v>
      </c>
      <c r="H19" s="165">
        <v>47</v>
      </c>
      <c r="I19" s="165">
        <v>34</v>
      </c>
      <c r="J19" s="165">
        <v>38</v>
      </c>
      <c r="K19" s="165">
        <v>17</v>
      </c>
      <c r="L19" s="165">
        <v>20</v>
      </c>
      <c r="M19" s="170">
        <v>30</v>
      </c>
      <c r="N19" s="166">
        <v>36</v>
      </c>
      <c r="O19">
        <v>8</v>
      </c>
      <c r="P19">
        <v>2</v>
      </c>
      <c r="T19">
        <f t="shared" si="0"/>
        <v>5</v>
      </c>
      <c r="V19">
        <v>2</v>
      </c>
      <c r="Y19">
        <f t="shared" si="1"/>
        <v>5</v>
      </c>
    </row>
    <row r="20" spans="1:53" ht="15" customHeight="1">
      <c r="A20" s="186"/>
      <c r="B20" s="110" t="s">
        <v>113</v>
      </c>
      <c r="C20" s="156">
        <v>7</v>
      </c>
      <c r="D20" s="102" t="s">
        <v>12</v>
      </c>
      <c r="E20" s="165">
        <v>25</v>
      </c>
      <c r="F20" s="170">
        <v>22</v>
      </c>
      <c r="G20" s="165">
        <v>35</v>
      </c>
      <c r="H20" s="165">
        <v>36</v>
      </c>
      <c r="I20" s="170">
        <v>48</v>
      </c>
      <c r="J20" s="170">
        <v>32</v>
      </c>
      <c r="K20" s="165">
        <v>23</v>
      </c>
      <c r="L20" s="165">
        <v>41</v>
      </c>
      <c r="M20" s="165">
        <v>36</v>
      </c>
      <c r="N20" s="166">
        <v>34</v>
      </c>
      <c r="O20">
        <v>2</v>
      </c>
      <c r="P20">
        <v>4</v>
      </c>
      <c r="T20">
        <f t="shared" si="0"/>
        <v>3</v>
      </c>
      <c r="V20">
        <v>2</v>
      </c>
      <c r="Y20">
        <f t="shared" ref="Y8:Y38" si="4">AVERAGE(O20:P20)</f>
        <v>3</v>
      </c>
    </row>
    <row r="21" spans="1:53" ht="15" customHeight="1">
      <c r="A21" s="186"/>
      <c r="B21" s="110" t="s">
        <v>116</v>
      </c>
      <c r="C21" s="156">
        <v>8</v>
      </c>
      <c r="D21" s="102" t="s">
        <v>12</v>
      </c>
      <c r="E21" s="165">
        <v>27</v>
      </c>
      <c r="F21" s="170">
        <v>55</v>
      </c>
      <c r="G21" s="170">
        <v>66</v>
      </c>
      <c r="H21" s="170">
        <v>75</v>
      </c>
      <c r="I21" s="165">
        <v>72</v>
      </c>
      <c r="J21" s="165">
        <v>75</v>
      </c>
      <c r="K21" s="165">
        <v>75</v>
      </c>
      <c r="L21" s="170">
        <v>75</v>
      </c>
      <c r="M21" s="170">
        <v>75</v>
      </c>
      <c r="N21" s="166">
        <v>75</v>
      </c>
      <c r="O21">
        <v>4</v>
      </c>
      <c r="P21">
        <v>5</v>
      </c>
      <c r="T21">
        <f t="shared" si="0"/>
        <v>4.5</v>
      </c>
      <c r="V21">
        <v>2</v>
      </c>
      <c r="Y21">
        <f t="shared" si="4"/>
        <v>4.5</v>
      </c>
    </row>
    <row r="22" spans="1:53" ht="15" customHeight="1">
      <c r="A22" s="186"/>
      <c r="B22" s="110" t="s">
        <v>123</v>
      </c>
      <c r="C22" s="156">
        <v>11</v>
      </c>
      <c r="D22" s="102" t="s">
        <v>12</v>
      </c>
      <c r="E22" s="165">
        <v>23</v>
      </c>
      <c r="F22" s="170">
        <v>39</v>
      </c>
      <c r="G22" s="165">
        <v>50</v>
      </c>
      <c r="H22" s="165">
        <v>56</v>
      </c>
      <c r="I22" s="165">
        <v>45</v>
      </c>
      <c r="J22" s="165">
        <v>31</v>
      </c>
      <c r="K22" s="165">
        <v>18</v>
      </c>
      <c r="L22" s="165">
        <v>41</v>
      </c>
      <c r="M22" s="165">
        <v>47</v>
      </c>
      <c r="N22" s="166">
        <v>54</v>
      </c>
      <c r="O22">
        <v>2</v>
      </c>
      <c r="T22">
        <f t="shared" si="0"/>
        <v>2</v>
      </c>
      <c r="V22">
        <v>1</v>
      </c>
      <c r="Y22">
        <f t="shared" si="4"/>
        <v>2</v>
      </c>
    </row>
    <row r="23" spans="1:53" ht="15" customHeight="1">
      <c r="A23" s="186"/>
      <c r="B23" s="110" t="s">
        <v>124</v>
      </c>
      <c r="C23" s="156">
        <v>12</v>
      </c>
      <c r="D23" s="102" t="s">
        <v>12</v>
      </c>
      <c r="E23" s="170">
        <v>32</v>
      </c>
      <c r="F23" s="170">
        <v>53</v>
      </c>
      <c r="G23" s="165">
        <v>27</v>
      </c>
      <c r="H23" s="165">
        <v>22</v>
      </c>
      <c r="I23" s="165">
        <v>17</v>
      </c>
      <c r="J23" s="165">
        <v>18</v>
      </c>
      <c r="K23" s="170">
        <v>22</v>
      </c>
      <c r="L23" s="170">
        <v>26</v>
      </c>
      <c r="M23" s="170">
        <v>32</v>
      </c>
      <c r="N23" s="173">
        <v>37</v>
      </c>
      <c r="O23">
        <v>6</v>
      </c>
      <c r="T23">
        <f t="shared" si="0"/>
        <v>6</v>
      </c>
      <c r="V23">
        <v>1</v>
      </c>
      <c r="Y23">
        <f t="shared" si="4"/>
        <v>6</v>
      </c>
    </row>
    <row r="24" spans="1:53" ht="15" customHeight="1">
      <c r="A24" s="186"/>
      <c r="B24" s="110" t="s">
        <v>125</v>
      </c>
      <c r="C24" s="156">
        <v>13</v>
      </c>
      <c r="D24" s="102" t="s">
        <v>12</v>
      </c>
      <c r="E24" s="165">
        <v>35</v>
      </c>
      <c r="F24" s="165">
        <v>32</v>
      </c>
      <c r="G24" s="170">
        <v>32</v>
      </c>
      <c r="H24" s="165">
        <v>36</v>
      </c>
      <c r="I24" s="165">
        <v>36</v>
      </c>
      <c r="J24" s="170">
        <v>6</v>
      </c>
      <c r="K24" s="165">
        <v>75</v>
      </c>
      <c r="L24" s="165">
        <v>60</v>
      </c>
      <c r="M24" s="165">
        <v>63</v>
      </c>
      <c r="N24" s="166">
        <v>52</v>
      </c>
      <c r="O24">
        <v>3</v>
      </c>
      <c r="P24">
        <v>3</v>
      </c>
      <c r="T24">
        <f t="shared" si="0"/>
        <v>3</v>
      </c>
      <c r="V24">
        <v>2</v>
      </c>
      <c r="Y24">
        <f t="shared" si="4"/>
        <v>3</v>
      </c>
    </row>
    <row r="25" spans="1:53" ht="15" customHeight="1">
      <c r="A25" s="186"/>
      <c r="B25" s="110" t="s">
        <v>314</v>
      </c>
      <c r="C25" s="156">
        <v>14</v>
      </c>
      <c r="D25" s="102" t="s">
        <v>12</v>
      </c>
      <c r="E25" s="165">
        <v>42</v>
      </c>
      <c r="F25" s="170">
        <v>32</v>
      </c>
      <c r="G25" s="165">
        <v>27</v>
      </c>
      <c r="H25" s="170">
        <v>29</v>
      </c>
      <c r="I25" s="165">
        <v>52</v>
      </c>
      <c r="J25" s="170">
        <v>73</v>
      </c>
      <c r="K25" s="165">
        <v>43</v>
      </c>
      <c r="L25" s="165">
        <v>59</v>
      </c>
      <c r="M25" s="170">
        <v>67</v>
      </c>
      <c r="N25" s="173">
        <v>58</v>
      </c>
      <c r="O25">
        <v>2</v>
      </c>
      <c r="P25">
        <v>2</v>
      </c>
      <c r="Q25">
        <v>2</v>
      </c>
      <c r="R25">
        <v>4</v>
      </c>
      <c r="T25">
        <f t="shared" si="0"/>
        <v>2.5</v>
      </c>
      <c r="V25">
        <v>4</v>
      </c>
      <c r="Y25">
        <f t="shared" si="4"/>
        <v>2</v>
      </c>
    </row>
    <row r="26" spans="1:53" ht="15" customHeight="1">
      <c r="A26" s="186"/>
      <c r="B26" s="110" t="s">
        <v>127</v>
      </c>
      <c r="C26" s="156">
        <v>15</v>
      </c>
      <c r="D26" s="102" t="s">
        <v>12</v>
      </c>
      <c r="E26" s="165">
        <v>49</v>
      </c>
      <c r="F26" s="170">
        <v>50</v>
      </c>
      <c r="G26" s="165">
        <v>75</v>
      </c>
      <c r="H26" s="170">
        <v>75</v>
      </c>
      <c r="I26" s="165">
        <v>75</v>
      </c>
      <c r="J26" s="170">
        <v>75</v>
      </c>
      <c r="K26" s="170">
        <v>75</v>
      </c>
      <c r="L26" s="170">
        <v>75</v>
      </c>
      <c r="M26" s="165">
        <v>55</v>
      </c>
      <c r="N26" s="166">
        <v>51</v>
      </c>
      <c r="O26">
        <v>2</v>
      </c>
      <c r="P26">
        <v>2</v>
      </c>
      <c r="Q26">
        <v>4</v>
      </c>
      <c r="T26">
        <f t="shared" si="0"/>
        <v>2.6666666666666665</v>
      </c>
      <c r="V26">
        <v>3</v>
      </c>
      <c r="Y26">
        <f t="shared" si="4"/>
        <v>2</v>
      </c>
    </row>
    <row r="27" spans="1:53" ht="15" customHeight="1">
      <c r="A27" s="187"/>
      <c r="B27" s="160" t="s">
        <v>368</v>
      </c>
      <c r="C27" s="157">
        <v>16</v>
      </c>
      <c r="D27" s="158" t="s">
        <v>12</v>
      </c>
      <c r="E27" s="176">
        <v>15</v>
      </c>
      <c r="F27" s="177">
        <v>74</v>
      </c>
      <c r="G27" s="177">
        <v>75</v>
      </c>
      <c r="H27" s="176">
        <v>75</v>
      </c>
      <c r="I27" s="176">
        <v>75</v>
      </c>
      <c r="J27" s="176">
        <v>75</v>
      </c>
      <c r="K27" s="176">
        <v>65</v>
      </c>
      <c r="L27" s="177">
        <v>62</v>
      </c>
      <c r="M27" s="176">
        <v>71</v>
      </c>
      <c r="N27" s="175">
        <v>75</v>
      </c>
      <c r="O27">
        <v>3</v>
      </c>
      <c r="P27">
        <v>5</v>
      </c>
      <c r="Q27">
        <v>2</v>
      </c>
      <c r="T27">
        <f t="shared" si="0"/>
        <v>3.3333333333333335</v>
      </c>
      <c r="V27">
        <v>3</v>
      </c>
      <c r="Y27">
        <f t="shared" si="4"/>
        <v>4</v>
      </c>
    </row>
    <row r="28" spans="1:53" ht="15" customHeight="1">
      <c r="A28" s="185" t="s">
        <v>320</v>
      </c>
      <c r="B28" s="161" t="s">
        <v>167</v>
      </c>
      <c r="C28" s="159">
        <v>1</v>
      </c>
      <c r="D28" s="162" t="s">
        <v>12</v>
      </c>
      <c r="E28" s="180">
        <v>27</v>
      </c>
      <c r="F28" s="180">
        <v>52</v>
      </c>
      <c r="G28" s="180">
        <v>31</v>
      </c>
      <c r="H28" s="180">
        <v>41</v>
      </c>
      <c r="I28" s="178">
        <v>33</v>
      </c>
      <c r="J28" s="180">
        <v>39</v>
      </c>
      <c r="K28" s="180">
        <v>22</v>
      </c>
      <c r="L28" s="180">
        <v>24</v>
      </c>
      <c r="M28" s="178">
        <v>21</v>
      </c>
      <c r="N28" s="179">
        <v>57</v>
      </c>
      <c r="O28">
        <v>5</v>
      </c>
      <c r="P28">
        <v>5</v>
      </c>
      <c r="T28">
        <f t="shared" si="0"/>
        <v>5</v>
      </c>
      <c r="V28">
        <v>2</v>
      </c>
      <c r="Y28">
        <f t="shared" si="4"/>
        <v>5</v>
      </c>
    </row>
    <row r="29" spans="1:53" ht="15" customHeight="1">
      <c r="A29" s="186"/>
      <c r="B29" s="110" t="s">
        <v>170</v>
      </c>
      <c r="C29" s="156">
        <v>2</v>
      </c>
      <c r="D29" s="102" t="s">
        <v>12</v>
      </c>
      <c r="E29" s="170">
        <v>30</v>
      </c>
      <c r="F29" s="170">
        <v>45</v>
      </c>
      <c r="G29" s="165">
        <v>25</v>
      </c>
      <c r="H29" s="165">
        <v>46</v>
      </c>
      <c r="I29" s="165">
        <v>22</v>
      </c>
      <c r="J29" s="170">
        <v>23</v>
      </c>
      <c r="K29" s="170">
        <v>21</v>
      </c>
      <c r="L29" s="170">
        <v>28</v>
      </c>
      <c r="M29" s="165">
        <v>24</v>
      </c>
      <c r="N29" s="173">
        <v>28</v>
      </c>
      <c r="O29">
        <v>5</v>
      </c>
      <c r="P29">
        <v>4</v>
      </c>
      <c r="T29">
        <f t="shared" si="0"/>
        <v>4.5</v>
      </c>
      <c r="V29">
        <v>2</v>
      </c>
      <c r="Y29">
        <f t="shared" si="4"/>
        <v>4.5</v>
      </c>
    </row>
    <row r="30" spans="1:53" ht="15" customHeight="1">
      <c r="A30" s="186"/>
      <c r="B30" s="110" t="s">
        <v>181</v>
      </c>
      <c r="C30" s="156">
        <v>6</v>
      </c>
      <c r="D30" s="102" t="s">
        <v>12</v>
      </c>
      <c r="E30" s="165">
        <v>46</v>
      </c>
      <c r="F30" s="165">
        <v>32</v>
      </c>
      <c r="G30" s="170">
        <v>36</v>
      </c>
      <c r="H30" s="170">
        <v>36</v>
      </c>
      <c r="I30" s="170">
        <v>26</v>
      </c>
      <c r="J30" s="165">
        <v>24</v>
      </c>
      <c r="K30" s="165">
        <v>37</v>
      </c>
      <c r="L30" s="165">
        <v>21</v>
      </c>
      <c r="M30" s="165">
        <v>23</v>
      </c>
      <c r="N30" s="166">
        <v>25</v>
      </c>
      <c r="O30">
        <v>5</v>
      </c>
      <c r="T30">
        <f t="shared" si="0"/>
        <v>5</v>
      </c>
      <c r="V30">
        <v>1</v>
      </c>
      <c r="Y30">
        <f t="shared" si="4"/>
        <v>5</v>
      </c>
    </row>
    <row r="31" spans="1:53" ht="15" customHeight="1">
      <c r="A31" s="186"/>
      <c r="B31" s="110" t="s">
        <v>183</v>
      </c>
      <c r="C31" s="156">
        <v>7</v>
      </c>
      <c r="D31" s="102" t="s">
        <v>12</v>
      </c>
      <c r="E31" s="165">
        <v>29</v>
      </c>
      <c r="F31" s="165">
        <v>22</v>
      </c>
      <c r="G31" s="170">
        <v>39</v>
      </c>
      <c r="H31" s="170">
        <v>43</v>
      </c>
      <c r="I31" s="165">
        <v>52</v>
      </c>
      <c r="J31" s="165">
        <v>57</v>
      </c>
      <c r="K31" s="165">
        <v>61</v>
      </c>
      <c r="L31" s="170">
        <v>58</v>
      </c>
      <c r="M31" s="170">
        <v>59</v>
      </c>
      <c r="N31" s="166">
        <v>66</v>
      </c>
      <c r="O31">
        <v>4</v>
      </c>
      <c r="P31">
        <v>5</v>
      </c>
      <c r="T31">
        <f t="shared" si="0"/>
        <v>4.5</v>
      </c>
      <c r="V31">
        <v>2</v>
      </c>
      <c r="Y31">
        <f t="shared" si="4"/>
        <v>4.5</v>
      </c>
    </row>
    <row r="32" spans="1:53" ht="15" customHeight="1">
      <c r="A32" s="186"/>
      <c r="B32" s="110" t="s">
        <v>186</v>
      </c>
      <c r="C32" s="156">
        <v>8</v>
      </c>
      <c r="D32" s="102" t="s">
        <v>12</v>
      </c>
      <c r="E32" s="170">
        <v>41</v>
      </c>
      <c r="F32" s="165">
        <v>71</v>
      </c>
      <c r="G32" s="165">
        <v>75</v>
      </c>
      <c r="H32" s="165">
        <v>55</v>
      </c>
      <c r="I32" s="165">
        <v>51</v>
      </c>
      <c r="J32" s="170">
        <v>18</v>
      </c>
      <c r="K32" s="165">
        <v>26</v>
      </c>
      <c r="L32" s="165">
        <v>27</v>
      </c>
      <c r="M32" s="170">
        <v>24</v>
      </c>
      <c r="N32" s="173">
        <v>23</v>
      </c>
      <c r="O32">
        <v>5</v>
      </c>
      <c r="P32">
        <v>3</v>
      </c>
      <c r="T32">
        <f t="shared" si="0"/>
        <v>4</v>
      </c>
      <c r="V32">
        <v>2</v>
      </c>
      <c r="Y32">
        <f t="shared" si="4"/>
        <v>4</v>
      </c>
    </row>
    <row r="33" spans="1:25" ht="15" customHeight="1">
      <c r="A33" s="186"/>
      <c r="B33" s="110" t="s">
        <v>189</v>
      </c>
      <c r="C33" s="156">
        <v>9</v>
      </c>
      <c r="D33" s="102" t="s">
        <v>12</v>
      </c>
      <c r="E33" s="170">
        <v>75</v>
      </c>
      <c r="F33" s="165">
        <v>75</v>
      </c>
      <c r="G33" s="170">
        <v>75</v>
      </c>
      <c r="H33" s="170">
        <v>75</v>
      </c>
      <c r="I33" s="170">
        <v>75</v>
      </c>
      <c r="J33" s="165">
        <v>75</v>
      </c>
      <c r="K33" s="165">
        <v>75</v>
      </c>
      <c r="L33" s="170">
        <v>75</v>
      </c>
      <c r="M33" s="165">
        <v>75</v>
      </c>
      <c r="N33" s="173">
        <v>75</v>
      </c>
      <c r="O33">
        <v>2</v>
      </c>
      <c r="P33">
        <v>5</v>
      </c>
      <c r="Q33">
        <v>2</v>
      </c>
      <c r="T33">
        <f t="shared" si="0"/>
        <v>3</v>
      </c>
      <c r="V33">
        <v>3</v>
      </c>
      <c r="Y33">
        <f t="shared" si="4"/>
        <v>3.5</v>
      </c>
    </row>
    <row r="34" spans="1:25" ht="15" customHeight="1">
      <c r="A34" s="186"/>
      <c r="B34" s="110" t="s">
        <v>192</v>
      </c>
      <c r="C34" s="156">
        <v>10</v>
      </c>
      <c r="D34" s="102" t="s">
        <v>12</v>
      </c>
      <c r="E34" s="170">
        <v>39</v>
      </c>
      <c r="F34" s="165">
        <v>45</v>
      </c>
      <c r="G34" s="165">
        <v>34</v>
      </c>
      <c r="H34" s="165">
        <v>37</v>
      </c>
      <c r="I34" s="170">
        <v>43</v>
      </c>
      <c r="J34" s="170">
        <v>32</v>
      </c>
      <c r="K34" s="165">
        <v>27</v>
      </c>
      <c r="L34" s="165">
        <v>35</v>
      </c>
      <c r="M34" s="165">
        <v>37</v>
      </c>
      <c r="N34" s="166">
        <v>74</v>
      </c>
      <c r="O34">
        <v>4</v>
      </c>
      <c r="P34">
        <v>5</v>
      </c>
      <c r="T34">
        <f t="shared" si="0"/>
        <v>4.5</v>
      </c>
      <c r="V34">
        <v>2</v>
      </c>
      <c r="Y34">
        <f t="shared" si="4"/>
        <v>4.5</v>
      </c>
    </row>
    <row r="35" spans="1:25" ht="15" customHeight="1">
      <c r="A35" s="186"/>
      <c r="B35" s="110" t="s">
        <v>196</v>
      </c>
      <c r="C35" s="156">
        <v>13</v>
      </c>
      <c r="D35" s="102" t="s">
        <v>12</v>
      </c>
      <c r="E35" s="165">
        <v>6</v>
      </c>
      <c r="F35" s="170">
        <v>22</v>
      </c>
      <c r="G35" s="165">
        <v>39</v>
      </c>
      <c r="H35" s="165">
        <v>49</v>
      </c>
      <c r="I35" s="165">
        <v>40</v>
      </c>
      <c r="J35" s="165">
        <v>50</v>
      </c>
      <c r="K35" s="170">
        <v>51</v>
      </c>
      <c r="L35" s="170">
        <v>58</v>
      </c>
      <c r="M35" s="165">
        <v>58</v>
      </c>
      <c r="N35" s="166">
        <v>67</v>
      </c>
      <c r="O35">
        <v>2</v>
      </c>
      <c r="P35">
        <v>6</v>
      </c>
      <c r="T35">
        <f t="shared" si="0"/>
        <v>4</v>
      </c>
      <c r="V35">
        <v>2</v>
      </c>
      <c r="Y35">
        <f t="shared" si="4"/>
        <v>4</v>
      </c>
    </row>
    <row r="36" spans="1:25" ht="15" customHeight="1">
      <c r="A36" s="186"/>
      <c r="B36" s="110" t="s">
        <v>197</v>
      </c>
      <c r="C36" s="156">
        <v>14</v>
      </c>
      <c r="D36" s="102" t="s">
        <v>12</v>
      </c>
      <c r="E36" s="165">
        <v>30</v>
      </c>
      <c r="F36" s="165">
        <v>39</v>
      </c>
      <c r="G36" s="170">
        <v>49</v>
      </c>
      <c r="H36" s="165">
        <v>64</v>
      </c>
      <c r="I36" s="170">
        <v>47</v>
      </c>
      <c r="J36" s="165">
        <v>61</v>
      </c>
      <c r="K36" s="165">
        <v>68</v>
      </c>
      <c r="L36" s="165">
        <v>75</v>
      </c>
      <c r="M36" s="165">
        <v>75</v>
      </c>
      <c r="N36" s="173">
        <v>75</v>
      </c>
      <c r="O36">
        <v>3</v>
      </c>
      <c r="P36">
        <v>2</v>
      </c>
      <c r="Q36">
        <v>5</v>
      </c>
      <c r="T36">
        <f t="shared" si="0"/>
        <v>3.3333333333333335</v>
      </c>
      <c r="V36">
        <v>3</v>
      </c>
      <c r="Y36">
        <f t="shared" si="4"/>
        <v>2.5</v>
      </c>
    </row>
    <row r="37" spans="1:25" ht="15" customHeight="1">
      <c r="A37" s="186"/>
      <c r="B37" s="110" t="s">
        <v>198</v>
      </c>
      <c r="C37" s="156">
        <v>15</v>
      </c>
      <c r="D37" s="102" t="s">
        <v>12</v>
      </c>
      <c r="E37" s="165">
        <v>29</v>
      </c>
      <c r="F37" s="170">
        <v>50</v>
      </c>
      <c r="G37" s="170">
        <v>41</v>
      </c>
      <c r="H37" s="165">
        <v>44</v>
      </c>
      <c r="I37" s="165">
        <v>48</v>
      </c>
      <c r="J37" s="165">
        <v>38</v>
      </c>
      <c r="K37" s="170">
        <v>51</v>
      </c>
      <c r="L37" s="165">
        <v>37</v>
      </c>
      <c r="M37" s="165">
        <v>64</v>
      </c>
      <c r="N37" s="166">
        <v>43</v>
      </c>
      <c r="O37">
        <v>3</v>
      </c>
      <c r="P37">
        <v>4</v>
      </c>
      <c r="T37">
        <f t="shared" si="0"/>
        <v>3.5</v>
      </c>
      <c r="V37">
        <v>2</v>
      </c>
      <c r="Y37">
        <f t="shared" si="4"/>
        <v>3.5</v>
      </c>
    </row>
    <row r="38" spans="1:25">
      <c r="A38" s="187"/>
      <c r="B38" s="160" t="s">
        <v>199</v>
      </c>
      <c r="C38" s="157">
        <v>16</v>
      </c>
      <c r="D38" s="158" t="s">
        <v>12</v>
      </c>
      <c r="E38" s="177">
        <v>30</v>
      </c>
      <c r="F38" s="177">
        <v>42</v>
      </c>
      <c r="G38" s="176">
        <v>37</v>
      </c>
      <c r="H38" s="176">
        <v>33</v>
      </c>
      <c r="I38" s="176">
        <v>26</v>
      </c>
      <c r="J38" s="176">
        <v>30</v>
      </c>
      <c r="K38" s="176">
        <v>31</v>
      </c>
      <c r="L38" s="176">
        <v>26</v>
      </c>
      <c r="M38" s="176">
        <v>34</v>
      </c>
      <c r="N38" s="181">
        <v>31</v>
      </c>
      <c r="O38">
        <v>10</v>
      </c>
      <c r="T38">
        <f t="shared" si="0"/>
        <v>10</v>
      </c>
      <c r="V38">
        <v>1</v>
      </c>
      <c r="Y38">
        <f t="shared" si="4"/>
        <v>10</v>
      </c>
    </row>
  </sheetData>
  <mergeCells count="7">
    <mergeCell ref="AD14:AD18"/>
    <mergeCell ref="A16:A27"/>
    <mergeCell ref="A28:A38"/>
    <mergeCell ref="C2:D2"/>
    <mergeCell ref="AD8:AD9"/>
    <mergeCell ref="A7:A15"/>
    <mergeCell ref="AD10:A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Temple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Hannah L Mayberry</dc:creator>
  <cp:keywords/>
  <dc:description/>
  <cp:lastModifiedBy>Citlalli Tomas Baltazar</cp:lastModifiedBy>
  <cp:revision/>
  <dcterms:created xsi:type="dcterms:W3CDTF">2019-09-27T15:49:17Z</dcterms:created>
  <dcterms:modified xsi:type="dcterms:W3CDTF">2023-05-29T15:15:47Z</dcterms:modified>
  <cp:category/>
  <cp:contentStatus/>
</cp:coreProperties>
</file>